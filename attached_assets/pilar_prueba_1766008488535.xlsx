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imacdesantiago/Downloads/"/>
    </mc:Choice>
  </mc:AlternateContent>
  <xr:revisionPtr revIDLastSave="0" documentId="8_{EEB265B7-A06B-CA41-8FB6-686C0BC240E8}" xr6:coauthVersionLast="47" xr6:coauthVersionMax="47" xr10:uidLastSave="{00000000-0000-0000-0000-000000000000}"/>
  <bookViews>
    <workbookView xWindow="38400" yWindow="0" windowWidth="38400" windowHeight="21600" xr2:uid="{3A6BE182-0275-3A4A-8E0C-57DAAA0C2EA1}"/>
  </bookViews>
  <sheets>
    <sheet name="Proyectos PGP" sheetId="2" r:id="rId1"/>
  </sheets>
  <definedNames>
    <definedName name="_xlnm._FilterDatabase" localSheetId="0" hidden="1">'Proyectos PGP'!$A$4:$FQ$202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3" i="2" l="1"/>
  <c r="AY3" i="2"/>
  <c r="AZ3" i="2"/>
  <c r="BA3" i="2"/>
  <c r="BB3" i="2"/>
  <c r="BC3" i="2"/>
  <c r="K5" i="2"/>
  <c r="AH5" i="2"/>
  <c r="AP5" i="2"/>
  <c r="AQ5" i="2"/>
  <c r="BD5" i="2"/>
  <c r="K6" i="2"/>
  <c r="AH6" i="2"/>
  <c r="AP6" i="2"/>
  <c r="AQ6" i="2" s="1"/>
  <c r="BD6" i="2"/>
  <c r="K7" i="2"/>
  <c r="AH7" i="2"/>
  <c r="AP7" i="2"/>
  <c r="AQ7" i="2" s="1"/>
  <c r="BD7" i="2"/>
  <c r="K8" i="2"/>
  <c r="AH8" i="2"/>
  <c r="AP8" i="2"/>
  <c r="AQ8" i="2"/>
  <c r="BD8" i="2"/>
  <c r="K9" i="2"/>
  <c r="AH9" i="2"/>
  <c r="AP9" i="2"/>
  <c r="AQ9" i="2" s="1"/>
  <c r="BD9" i="2"/>
  <c r="AH10" i="2"/>
  <c r="AP10" i="2"/>
  <c r="AQ10" i="2"/>
  <c r="BD10" i="2"/>
  <c r="K11" i="2"/>
  <c r="AH11" i="2"/>
  <c r="AP11" i="2"/>
  <c r="AQ11" i="2" s="1"/>
  <c r="BD11" i="2"/>
  <c r="K12" i="2"/>
  <c r="AH12" i="2"/>
  <c r="AP12" i="2"/>
  <c r="AQ12" i="2" s="1"/>
  <c r="BD12" i="2"/>
  <c r="K13" i="2"/>
  <c r="AH13" i="2"/>
  <c r="AP13" i="2"/>
  <c r="AQ13" i="2"/>
  <c r="BD13" i="2"/>
  <c r="K14" i="2"/>
  <c r="AH14" i="2"/>
  <c r="AP14" i="2"/>
  <c r="AQ14" i="2" s="1"/>
  <c r="AT14" i="2"/>
  <c r="BD14" i="2"/>
  <c r="K15" i="2"/>
  <c r="AH15" i="2"/>
  <c r="AQ15" i="2" s="1"/>
  <c r="AP15" i="2"/>
  <c r="BD15" i="2"/>
  <c r="K16" i="2"/>
  <c r="AH16" i="2"/>
  <c r="AP16" i="2"/>
  <c r="AQ16" i="2"/>
  <c r="BD16" i="2"/>
  <c r="BD3" i="2" s="1"/>
  <c r="AH17" i="2"/>
  <c r="AP17" i="2"/>
  <c r="AQ17" i="2"/>
  <c r="BD17" i="2"/>
  <c r="K18" i="2"/>
  <c r="AH18" i="2"/>
  <c r="AP18" i="2"/>
  <c r="AQ18" i="2"/>
  <c r="BD18" i="2"/>
  <c r="K19" i="2"/>
  <c r="AH19" i="2"/>
  <c r="AP19" i="2"/>
  <c r="AQ19" i="2" s="1"/>
  <c r="BD19" i="2"/>
  <c r="K20" i="2"/>
  <c r="AH20" i="2"/>
  <c r="AQ20" i="2" s="1"/>
  <c r="AP20" i="2"/>
  <c r="BD20" i="2"/>
  <c r="K21" i="2"/>
  <c r="AH21" i="2"/>
  <c r="AP21" i="2"/>
  <c r="AQ21" i="2"/>
  <c r="BD21" i="2"/>
  <c r="AH22" i="2"/>
  <c r="AP22" i="2"/>
  <c r="AQ22" i="2"/>
  <c r="K23" i="2"/>
  <c r="AH23" i="2"/>
  <c r="AP23" i="2"/>
  <c r="AQ23" i="2"/>
  <c r="BD23" i="2"/>
  <c r="K24" i="2"/>
  <c r="AH24" i="2"/>
  <c r="AP24" i="2"/>
  <c r="AQ24" i="2" s="1"/>
  <c r="BD24" i="2"/>
  <c r="K25" i="2"/>
  <c r="AH25" i="2"/>
  <c r="AP25" i="2"/>
  <c r="AQ25" i="2" s="1"/>
  <c r="BD25" i="2"/>
  <c r="K26" i="2"/>
  <c r="AH26" i="2"/>
  <c r="AP26" i="2"/>
  <c r="AQ26" i="2" s="1"/>
  <c r="BD26" i="2"/>
  <c r="K27" i="2"/>
  <c r="AH27" i="2"/>
  <c r="AP27" i="2"/>
  <c r="AQ27" i="2"/>
  <c r="BD27" i="2"/>
  <c r="K28" i="2"/>
  <c r="AH28" i="2"/>
  <c r="AP28" i="2"/>
  <c r="AQ28" i="2"/>
  <c r="BD28" i="2"/>
  <c r="K29" i="2"/>
  <c r="AH29" i="2"/>
  <c r="AP29" i="2"/>
  <c r="AQ29" i="2" s="1"/>
  <c r="BD29" i="2"/>
  <c r="AH30" i="2"/>
  <c r="AP30" i="2"/>
  <c r="AQ30" i="2" s="1"/>
  <c r="BD30" i="2"/>
  <c r="K31" i="2"/>
  <c r="AH31" i="2"/>
  <c r="AP31" i="2"/>
  <c r="AQ31" i="2" s="1"/>
  <c r="BD31" i="2"/>
  <c r="K32" i="2"/>
  <c r="AH32" i="2"/>
  <c r="AQ32" i="2" s="1"/>
  <c r="AP32" i="2"/>
  <c r="BD32" i="2"/>
  <c r="AH33" i="2"/>
  <c r="AP33" i="2"/>
  <c r="AQ33" i="2"/>
  <c r="K34" i="2"/>
  <c r="AH34" i="2"/>
  <c r="AP34" i="2"/>
  <c r="AQ34" i="2"/>
  <c r="BD34" i="2"/>
  <c r="K35" i="2"/>
  <c r="AH35" i="2"/>
  <c r="AP35" i="2"/>
  <c r="AQ35" i="2"/>
  <c r="BD35" i="2"/>
  <c r="BI35" i="2"/>
  <c r="K36" i="2"/>
  <c r="AH36" i="2"/>
  <c r="AP36" i="2"/>
  <c r="AQ36" i="2" s="1"/>
  <c r="BD36" i="2"/>
  <c r="K37" i="2"/>
  <c r="AH37" i="2"/>
  <c r="AP37" i="2"/>
  <c r="AQ37" i="2"/>
  <c r="BD37" i="2"/>
  <c r="AH38" i="2"/>
  <c r="AP38" i="2"/>
  <c r="AQ38" i="2"/>
  <c r="BD38" i="2"/>
  <c r="AH39" i="2"/>
  <c r="AP39" i="2"/>
  <c r="AQ39" i="2"/>
  <c r="K40" i="2"/>
  <c r="AH40" i="2"/>
  <c r="AQ40" i="2" s="1"/>
  <c r="AP40" i="2"/>
  <c r="BD40" i="2"/>
  <c r="K41" i="2"/>
  <c r="AH41" i="2"/>
  <c r="AP41" i="2"/>
  <c r="AQ41" i="2"/>
  <c r="BD41" i="2"/>
  <c r="K42" i="2"/>
  <c r="AH42" i="2"/>
  <c r="AP42" i="2"/>
  <c r="AQ42" i="2" s="1"/>
  <c r="BD42" i="2"/>
  <c r="K43" i="2"/>
  <c r="AH43" i="2"/>
  <c r="AQ43" i="2" s="1"/>
  <c r="AP43" i="2"/>
  <c r="BD43" i="2"/>
  <c r="K44" i="2"/>
  <c r="AH44" i="2"/>
  <c r="AP44" i="2"/>
  <c r="AQ44" i="2"/>
  <c r="BD44" i="2"/>
  <c r="K45" i="2"/>
  <c r="AH45" i="2"/>
  <c r="AP45" i="2"/>
  <c r="AQ45" i="2"/>
  <c r="BD45" i="2"/>
  <c r="K46" i="2"/>
  <c r="AH46" i="2"/>
  <c r="AP46" i="2"/>
  <c r="AQ46" i="2" s="1"/>
  <c r="BD46" i="2"/>
  <c r="K47" i="2"/>
  <c r="AH47" i="2"/>
  <c r="AP47" i="2"/>
  <c r="AQ47" i="2" s="1"/>
  <c r="BD47" i="2"/>
  <c r="K48" i="2"/>
  <c r="AH48" i="2"/>
  <c r="AP48" i="2"/>
  <c r="AQ48" i="2"/>
  <c r="BD48" i="2"/>
  <c r="K49" i="2"/>
  <c r="AH49" i="2"/>
  <c r="AP49" i="2"/>
  <c r="AQ49" i="2" s="1"/>
  <c r="BD49" i="2"/>
  <c r="K50" i="2"/>
  <c r="AH50" i="2"/>
  <c r="AP50" i="2"/>
  <c r="AQ50" i="2" s="1"/>
  <c r="BD50" i="2"/>
  <c r="AH51" i="2"/>
  <c r="AP51" i="2"/>
  <c r="AQ51" i="2" s="1"/>
  <c r="BD51" i="2"/>
  <c r="K52" i="2"/>
  <c r="AH52" i="2"/>
  <c r="AP52" i="2"/>
  <c r="AQ52" i="2" s="1"/>
  <c r="BD52" i="2"/>
  <c r="AH53" i="2"/>
  <c r="AQ53" i="2" s="1"/>
  <c r="AP53" i="2"/>
  <c r="AH54" i="2"/>
  <c r="AP54" i="2"/>
  <c r="AQ54" i="2" s="1"/>
  <c r="K55" i="2"/>
  <c r="AH55" i="2"/>
  <c r="AP55" i="2"/>
  <c r="AQ55" i="2" s="1"/>
  <c r="BD55" i="2"/>
  <c r="AH56" i="2"/>
  <c r="AP56" i="2"/>
  <c r="AQ56" i="2" s="1"/>
  <c r="BD56" i="2"/>
  <c r="K57" i="2"/>
  <c r="AH57" i="2"/>
  <c r="AP57" i="2"/>
  <c r="AQ57" i="2" s="1"/>
  <c r="BD57" i="2"/>
  <c r="K58" i="2"/>
  <c r="AH58" i="2"/>
  <c r="AQ58" i="2" s="1"/>
  <c r="AP58" i="2"/>
  <c r="BD58" i="2"/>
  <c r="K59" i="2"/>
  <c r="AH59" i="2"/>
  <c r="AP59" i="2"/>
  <c r="AQ59" i="2"/>
  <c r="BD59" i="2"/>
  <c r="K60" i="2"/>
  <c r="AH60" i="2"/>
  <c r="AP60" i="2"/>
  <c r="AQ60" i="2" s="1"/>
  <c r="BD60" i="2"/>
  <c r="K61" i="2"/>
  <c r="AH61" i="2"/>
  <c r="AQ61" i="2" s="1"/>
  <c r="AP61" i="2"/>
  <c r="BD61" i="2"/>
  <c r="K62" i="2"/>
  <c r="AH62" i="2"/>
  <c r="AP62" i="2"/>
  <c r="AQ62" i="2"/>
  <c r="BD62" i="2"/>
  <c r="AH63" i="2"/>
  <c r="AQ63" i="2" s="1"/>
  <c r="AP63" i="2"/>
  <c r="K64" i="2"/>
  <c r="AH64" i="2"/>
  <c r="AP64" i="2"/>
  <c r="AQ64" i="2"/>
  <c r="BD64" i="2"/>
  <c r="K65" i="2"/>
  <c r="AH65" i="2"/>
  <c r="AP65" i="2"/>
  <c r="AQ65" i="2" s="1"/>
  <c r="BD65" i="2"/>
  <c r="K66" i="2"/>
  <c r="AH66" i="2"/>
  <c r="AP66" i="2"/>
  <c r="AQ66" i="2" s="1"/>
  <c r="BD66" i="2"/>
  <c r="K67" i="2"/>
  <c r="AH67" i="2"/>
  <c r="AP67" i="2"/>
  <c r="AQ67" i="2"/>
  <c r="BD67" i="2"/>
  <c r="K68" i="2"/>
  <c r="AH68" i="2"/>
  <c r="AQ68" i="2" s="1"/>
  <c r="AP68" i="2"/>
  <c r="BD68" i="2"/>
  <c r="AH69" i="2"/>
  <c r="AP69" i="2"/>
  <c r="AQ69" i="2"/>
  <c r="AH70" i="2"/>
  <c r="AP70" i="2"/>
  <c r="AQ70" i="2"/>
  <c r="BD70" i="2"/>
  <c r="K71" i="2"/>
  <c r="AH71" i="2"/>
  <c r="AQ71" i="2" s="1"/>
  <c r="AP71" i="2"/>
  <c r="BD71" i="2"/>
  <c r="AH72" i="2"/>
  <c r="AP72" i="2"/>
  <c r="AQ72" i="2"/>
  <c r="BD72" i="2"/>
  <c r="AH73" i="2"/>
  <c r="AP73" i="2"/>
  <c r="AQ73" i="2"/>
  <c r="BD73" i="2"/>
  <c r="AH74" i="2"/>
  <c r="AQ74" i="2" s="1"/>
  <c r="AP74" i="2"/>
  <c r="BD74" i="2"/>
  <c r="AH75" i="2"/>
  <c r="AP75" i="2"/>
  <c r="AQ75" i="2"/>
  <c r="BD75" i="2"/>
  <c r="AH76" i="2"/>
  <c r="AP76" i="2"/>
  <c r="AQ76" i="2"/>
  <c r="BD76" i="2"/>
  <c r="K77" i="2"/>
  <c r="AH77" i="2"/>
  <c r="AP77" i="2"/>
  <c r="AQ77" i="2"/>
  <c r="BD77" i="2"/>
  <c r="K78" i="2"/>
  <c r="AH78" i="2"/>
  <c r="AP78" i="2"/>
  <c r="AQ78" i="2"/>
  <c r="BD78" i="2"/>
  <c r="K79" i="2"/>
  <c r="AH79" i="2"/>
  <c r="AP79" i="2"/>
  <c r="AQ79" i="2" s="1"/>
  <c r="BD79" i="2"/>
  <c r="K80" i="2"/>
  <c r="AH80" i="2"/>
  <c r="AP80" i="2"/>
  <c r="AQ80" i="2"/>
  <c r="BD80" i="2"/>
  <c r="K81" i="2"/>
  <c r="AH81" i="2"/>
  <c r="AP81" i="2"/>
  <c r="AH82" i="2"/>
  <c r="AP82" i="2"/>
  <c r="AQ82" i="2" s="1"/>
  <c r="BD82" i="2"/>
  <c r="AH83" i="2"/>
  <c r="AQ83" i="2" s="1"/>
  <c r="AP83" i="2"/>
  <c r="BD83" i="2"/>
  <c r="AH84" i="2"/>
  <c r="AP84" i="2"/>
  <c r="AQ84" i="2"/>
  <c r="BD84" i="2"/>
  <c r="AH85" i="2"/>
  <c r="AP85" i="2"/>
  <c r="AQ85" i="2" s="1"/>
  <c r="BD85" i="2"/>
  <c r="AH86" i="2"/>
  <c r="AQ86" i="2" s="1"/>
  <c r="AP86" i="2"/>
  <c r="BD86" i="2"/>
  <c r="AH87" i="2"/>
  <c r="AP87" i="2"/>
  <c r="AQ87" i="2"/>
  <c r="BD87" i="2"/>
  <c r="AH88" i="2"/>
  <c r="AP88" i="2"/>
  <c r="AQ88" i="2" s="1"/>
  <c r="BD88" i="2"/>
  <c r="K89" i="2"/>
  <c r="AH89" i="2"/>
  <c r="AP89" i="2"/>
  <c r="AQ89" i="2"/>
  <c r="BD89" i="2"/>
  <c r="K90" i="2"/>
  <c r="AH90" i="2"/>
  <c r="AP90" i="2"/>
  <c r="AQ90" i="2" s="1"/>
  <c r="BD90" i="2"/>
  <c r="K91" i="2"/>
  <c r="AH91" i="2"/>
  <c r="AP91" i="2"/>
  <c r="AQ91" i="2" s="1"/>
  <c r="BD91" i="2"/>
  <c r="K92" i="2"/>
  <c r="AH92" i="2"/>
  <c r="AP92" i="2"/>
  <c r="AQ92" i="2"/>
  <c r="BD92" i="2"/>
  <c r="K93" i="2"/>
  <c r="AH93" i="2"/>
  <c r="AQ93" i="2" s="1"/>
  <c r="AP93" i="2"/>
  <c r="BD93" i="2"/>
  <c r="AH94" i="2"/>
  <c r="AP94" i="2"/>
  <c r="AQ94" i="2"/>
  <c r="BD94" i="2"/>
  <c r="AH95" i="2"/>
  <c r="AP95" i="2"/>
  <c r="AQ95" i="2"/>
  <c r="BD95" i="2"/>
  <c r="K96" i="2"/>
  <c r="AH96" i="2"/>
  <c r="AP96" i="2"/>
  <c r="AQ96" i="2"/>
  <c r="BD96" i="2"/>
  <c r="K97" i="2"/>
  <c r="AH97" i="2"/>
  <c r="AP97" i="2"/>
  <c r="AQ97" i="2"/>
  <c r="BD97" i="2"/>
  <c r="K98" i="2"/>
  <c r="AH98" i="2"/>
  <c r="AP98" i="2"/>
  <c r="AQ98" i="2" s="1"/>
  <c r="BD98" i="2"/>
  <c r="K99" i="2"/>
  <c r="AH99" i="2"/>
  <c r="AP99" i="2"/>
  <c r="AQ99" i="2"/>
  <c r="BD99" i="2"/>
  <c r="K100" i="2"/>
  <c r="AH100" i="2"/>
  <c r="AP100" i="2"/>
  <c r="AQ100" i="2" s="1"/>
  <c r="BD100" i="2"/>
  <c r="K101" i="2"/>
  <c r="AH101" i="2"/>
  <c r="AP101" i="2"/>
  <c r="AQ101" i="2" s="1"/>
  <c r="BD101" i="2"/>
  <c r="K102" i="2"/>
  <c r="AH102" i="2"/>
  <c r="AP102" i="2"/>
  <c r="AQ102" i="2"/>
  <c r="BD102" i="2"/>
  <c r="K103" i="2"/>
  <c r="AH103" i="2"/>
  <c r="AP103" i="2"/>
  <c r="AQ103" i="2" s="1"/>
  <c r="BD103" i="2"/>
  <c r="K104" i="2"/>
  <c r="AH104" i="2"/>
  <c r="AP104" i="2"/>
  <c r="AQ104" i="2"/>
  <c r="BD104" i="2"/>
  <c r="AH105" i="2"/>
  <c r="AP105" i="2"/>
  <c r="AQ105" i="2" s="1"/>
  <c r="BD105" i="2"/>
  <c r="AH106" i="2"/>
  <c r="AP106" i="2"/>
  <c r="AQ106" i="2"/>
  <c r="BD106" i="2"/>
  <c r="AH107" i="2"/>
  <c r="AP107" i="2"/>
  <c r="AQ107" i="2"/>
  <c r="BD107" i="2"/>
  <c r="AH108" i="2"/>
  <c r="AP108" i="2"/>
  <c r="AQ108" i="2" s="1"/>
  <c r="AH109" i="2"/>
  <c r="AP109" i="2"/>
  <c r="AQ109" i="2" s="1"/>
  <c r="BD109" i="2"/>
  <c r="K110" i="2"/>
  <c r="AH110" i="2"/>
  <c r="AP110" i="2"/>
  <c r="AQ110" i="2"/>
  <c r="BD110" i="2"/>
  <c r="K111" i="2"/>
  <c r="AH111" i="2"/>
  <c r="AP111" i="2"/>
  <c r="AQ111" i="2" s="1"/>
  <c r="BD111" i="2"/>
  <c r="K112" i="2"/>
  <c r="AH112" i="2"/>
  <c r="AQ112" i="2" s="1"/>
  <c r="AP112" i="2"/>
  <c r="BD112" i="2"/>
  <c r="K113" i="2"/>
  <c r="AH113" i="2"/>
  <c r="AP113" i="2"/>
  <c r="AQ113" i="2"/>
  <c r="BD113" i="2"/>
  <c r="K114" i="2"/>
  <c r="AH114" i="2"/>
  <c r="AP114" i="2"/>
  <c r="AQ114" i="2"/>
  <c r="BD114" i="2"/>
  <c r="K115" i="2"/>
  <c r="AH115" i="2"/>
  <c r="AP115" i="2"/>
  <c r="AQ115" i="2" s="1"/>
  <c r="BD115" i="2"/>
  <c r="K116" i="2"/>
  <c r="AH116" i="2"/>
  <c r="AP116" i="2"/>
  <c r="AQ116" i="2" s="1"/>
  <c r="BD116" i="2"/>
  <c r="AH117" i="2"/>
  <c r="AQ117" i="2" s="1"/>
  <c r="AP117" i="2"/>
  <c r="BD117" i="2"/>
  <c r="K118" i="2"/>
  <c r="AH118" i="2"/>
  <c r="AP118" i="2"/>
  <c r="AQ118" i="2"/>
  <c r="BD118" i="2"/>
  <c r="K119" i="2"/>
  <c r="AH119" i="2"/>
  <c r="AP119" i="2"/>
  <c r="AQ119" i="2"/>
  <c r="K120" i="2"/>
  <c r="AH120" i="2"/>
  <c r="AP120" i="2"/>
  <c r="AQ120" i="2"/>
  <c r="BD120" i="2"/>
  <c r="K121" i="2"/>
  <c r="AH121" i="2"/>
  <c r="AP121" i="2"/>
  <c r="AQ121" i="2" s="1"/>
  <c r="BD121" i="2"/>
  <c r="K122" i="2"/>
  <c r="AH122" i="2"/>
  <c r="AQ122" i="2" s="1"/>
  <c r="AP122" i="2"/>
  <c r="BD122" i="2"/>
  <c r="K123" i="2"/>
  <c r="AH123" i="2"/>
  <c r="AP123" i="2"/>
  <c r="AQ123" i="2"/>
  <c r="BD123" i="2"/>
  <c r="K124" i="2"/>
  <c r="AH124" i="2"/>
  <c r="AP124" i="2"/>
  <c r="AQ124" i="2"/>
  <c r="BD124" i="2"/>
  <c r="K125" i="2"/>
  <c r="AH125" i="2"/>
  <c r="AP125" i="2"/>
  <c r="AQ125" i="2" s="1"/>
  <c r="BD125" i="2"/>
  <c r="AH126" i="2"/>
  <c r="AP126" i="2"/>
  <c r="AQ126" i="2" s="1"/>
  <c r="K127" i="2"/>
  <c r="AH127" i="2"/>
  <c r="AP127" i="2"/>
  <c r="AQ127" i="2" s="1"/>
  <c r="BD127" i="2"/>
  <c r="K128" i="2"/>
  <c r="AH128" i="2"/>
  <c r="AQ128" i="2" s="1"/>
  <c r="AP128" i="2"/>
  <c r="BD128" i="2"/>
  <c r="AH129" i="2"/>
  <c r="AP129" i="2"/>
  <c r="AQ129" i="2" s="1"/>
  <c r="BD129" i="2"/>
  <c r="AH130" i="2"/>
  <c r="AQ130" i="2" s="1"/>
  <c r="AP130" i="2"/>
  <c r="AH131" i="2"/>
  <c r="AP131" i="2"/>
  <c r="AQ131" i="2" s="1"/>
  <c r="K132" i="2"/>
  <c r="AH132" i="2"/>
  <c r="AP132" i="2"/>
  <c r="AQ132" i="2" s="1"/>
  <c r="BD132" i="2"/>
  <c r="K133" i="2"/>
  <c r="AH133" i="2"/>
  <c r="AQ133" i="2" s="1"/>
  <c r="AP133" i="2"/>
  <c r="BD133" i="2"/>
  <c r="K134" i="2"/>
  <c r="AH134" i="2"/>
  <c r="AP134" i="2"/>
  <c r="AQ134" i="2"/>
  <c r="BD134" i="2"/>
  <c r="AH135" i="2"/>
  <c r="AQ135" i="2" s="1"/>
  <c r="AP135" i="2"/>
  <c r="AH136" i="2"/>
  <c r="AQ136" i="2" s="1"/>
  <c r="AP136" i="2"/>
  <c r="BD136" i="2"/>
  <c r="AH137" i="2"/>
  <c r="AQ137" i="2" s="1"/>
  <c r="AP137" i="2"/>
  <c r="BD137" i="2"/>
  <c r="AH138" i="2"/>
  <c r="AP138" i="2"/>
  <c r="AQ138" i="2" s="1"/>
  <c r="AH139" i="2"/>
  <c r="AP139" i="2"/>
  <c r="AQ139" i="2" s="1"/>
  <c r="K140" i="2"/>
  <c r="AH140" i="2"/>
  <c r="AP140" i="2"/>
  <c r="AQ140" i="2" s="1"/>
  <c r="BD140" i="2"/>
  <c r="K141" i="2"/>
  <c r="AH141" i="2"/>
  <c r="AP141" i="2"/>
  <c r="AQ141" i="2" s="1"/>
  <c r="BD141" i="2"/>
  <c r="K142" i="2"/>
  <c r="AH142" i="2"/>
  <c r="AP142" i="2"/>
  <c r="AQ142" i="2"/>
  <c r="BD142" i="2"/>
  <c r="AH143" i="2"/>
  <c r="AP143" i="2"/>
  <c r="AQ143" i="2"/>
  <c r="AH144" i="2"/>
  <c r="AP144" i="2"/>
  <c r="AQ144" i="2" s="1"/>
  <c r="AH145" i="2"/>
  <c r="AP145" i="2"/>
  <c r="AQ145" i="2" s="1"/>
  <c r="K146" i="2"/>
  <c r="AH146" i="2"/>
  <c r="AP146" i="2"/>
  <c r="AQ146" i="2" s="1"/>
  <c r="BD146" i="2"/>
  <c r="AH147" i="2"/>
  <c r="AP147" i="2"/>
  <c r="AQ147" i="2" s="1"/>
  <c r="AH148" i="2"/>
  <c r="AP148" i="2"/>
  <c r="AQ148" i="2"/>
  <c r="AH149" i="2"/>
  <c r="AP149" i="2"/>
  <c r="AQ149" i="2"/>
  <c r="AH150" i="2"/>
  <c r="AQ150" i="2" s="1"/>
  <c r="AP150" i="2"/>
  <c r="AH151" i="2"/>
  <c r="AP151" i="2"/>
  <c r="AQ151" i="2" s="1"/>
  <c r="AH152" i="2"/>
  <c r="AP152" i="2"/>
  <c r="AQ152" i="2"/>
  <c r="BD152" i="2"/>
  <c r="AH153" i="2"/>
  <c r="AP153" i="2"/>
  <c r="AQ153" i="2"/>
  <c r="AH154" i="2"/>
  <c r="AP154" i="2"/>
  <c r="AQ154" i="2"/>
  <c r="K155" i="2"/>
  <c r="AH155" i="2"/>
  <c r="AP155" i="2"/>
  <c r="K156" i="2"/>
  <c r="AH156" i="2"/>
  <c r="AQ156" i="2" s="1"/>
  <c r="AP156" i="2"/>
  <c r="BD156" i="2"/>
  <c r="K157" i="2"/>
  <c r="AH157" i="2"/>
  <c r="AP157" i="2"/>
  <c r="AQ157" i="2"/>
  <c r="BD157" i="2"/>
  <c r="K158" i="2"/>
  <c r="AH158" i="2"/>
  <c r="AP158" i="2"/>
  <c r="AQ158" i="2"/>
  <c r="BD158" i="2"/>
  <c r="AH159" i="2"/>
  <c r="AP159" i="2"/>
  <c r="AQ159" i="2"/>
  <c r="AH160" i="2"/>
  <c r="AP160" i="2"/>
  <c r="AQ160" i="2"/>
  <c r="BD160" i="2"/>
  <c r="AH161" i="2"/>
  <c r="AP161" i="2"/>
  <c r="AQ161" i="2"/>
  <c r="AH162" i="2"/>
  <c r="AQ162" i="2" s="1"/>
  <c r="AP162" i="2"/>
  <c r="AH163" i="2"/>
  <c r="AP163" i="2"/>
  <c r="AQ163" i="2" s="1"/>
  <c r="BD163" i="2"/>
  <c r="AH164" i="2"/>
  <c r="AP164" i="2"/>
  <c r="AQ164" i="2" s="1"/>
  <c r="BD164" i="2"/>
  <c r="AH165" i="2"/>
  <c r="AP165" i="2"/>
  <c r="AQ165" i="2" s="1"/>
  <c r="BD165" i="2"/>
  <c r="AH166" i="2"/>
  <c r="AP166" i="2"/>
  <c r="AQ166" i="2" s="1"/>
  <c r="BD166" i="2"/>
  <c r="K167" i="2"/>
  <c r="AH167" i="2"/>
  <c r="AP167" i="2"/>
  <c r="AQ167" i="2" s="1"/>
  <c r="BD167" i="2"/>
  <c r="AH168" i="2"/>
  <c r="AQ168" i="2" s="1"/>
  <c r="AP168" i="2"/>
  <c r="K169" i="2"/>
  <c r="AH169" i="2"/>
  <c r="AQ169" i="2" s="1"/>
  <c r="AP169" i="2"/>
  <c r="AH170" i="2"/>
  <c r="AP170" i="2"/>
  <c r="AQ170" i="2" s="1"/>
  <c r="BD170" i="2"/>
  <c r="AH171" i="2"/>
  <c r="AP171" i="2"/>
  <c r="AQ171" i="2" s="1"/>
  <c r="BD171" i="2"/>
  <c r="AH172" i="2"/>
  <c r="AP172" i="2"/>
  <c r="AQ172" i="2" s="1"/>
  <c r="AH173" i="2"/>
  <c r="AP173" i="2"/>
  <c r="AQ173" i="2" s="1"/>
  <c r="BD173" i="2"/>
  <c r="AH174" i="2"/>
  <c r="AP174" i="2"/>
  <c r="AQ174" i="2"/>
  <c r="BD174" i="2"/>
  <c r="K175" i="2"/>
  <c r="AH175" i="2"/>
  <c r="AP175" i="2"/>
  <c r="AQ175" i="2" s="1"/>
  <c r="BD175" i="2"/>
  <c r="AH176" i="2"/>
  <c r="AP176" i="2"/>
  <c r="AQ176" i="2" s="1"/>
  <c r="BD176" i="2"/>
  <c r="AH177" i="2"/>
  <c r="AP177" i="2"/>
  <c r="AQ177" i="2" s="1"/>
  <c r="AH178" i="2"/>
  <c r="AP178" i="2"/>
  <c r="AQ178" i="2"/>
  <c r="AH179" i="2"/>
  <c r="AP179" i="2"/>
  <c r="AQ179" i="2"/>
  <c r="AH180" i="2"/>
  <c r="AP180" i="2"/>
  <c r="AQ180" i="2" s="1"/>
  <c r="AH181" i="2"/>
  <c r="AP181" i="2"/>
  <c r="AQ181" i="2" s="1"/>
  <c r="BD181" i="2"/>
  <c r="AH182" i="2"/>
  <c r="AP182" i="2"/>
  <c r="AQ182" i="2" s="1"/>
  <c r="AH183" i="2"/>
  <c r="AP183" i="2"/>
  <c r="AQ183" i="2" s="1"/>
  <c r="BD183" i="2"/>
  <c r="AH184" i="2"/>
  <c r="AP184" i="2"/>
  <c r="AQ184" i="2"/>
  <c r="BD184" i="2"/>
  <c r="AH185" i="2"/>
  <c r="AP185" i="2"/>
  <c r="AQ185" i="2"/>
  <c r="BD185" i="2"/>
  <c r="AH186" i="2"/>
  <c r="AP186" i="2"/>
  <c r="AQ186" i="2" s="1"/>
  <c r="BD186" i="2"/>
  <c r="AH187" i="2"/>
  <c r="AP187" i="2"/>
  <c r="AQ187" i="2"/>
  <c r="BD187" i="2"/>
  <c r="AH188" i="2"/>
  <c r="AP188" i="2"/>
  <c r="AQ188" i="2"/>
  <c r="AH189" i="2"/>
  <c r="AP189" i="2"/>
  <c r="AQ189" i="2"/>
  <c r="BD189" i="2"/>
  <c r="AH190" i="2"/>
  <c r="AP190" i="2"/>
  <c r="AQ190" i="2"/>
  <c r="AH191" i="2"/>
  <c r="AQ191" i="2" s="1"/>
  <c r="AP191" i="2"/>
  <c r="AH192" i="2"/>
  <c r="AP192" i="2"/>
  <c r="AQ192" i="2" s="1"/>
  <c r="AH193" i="2"/>
  <c r="AP193" i="2"/>
  <c r="AQ193" i="2" s="1"/>
  <c r="AH194" i="2"/>
  <c r="AP194" i="2"/>
  <c r="AQ194" i="2"/>
  <c r="BD194" i="2"/>
  <c r="K195" i="2"/>
  <c r="AH195" i="2"/>
  <c r="AP195" i="2"/>
  <c r="AQ195" i="2"/>
  <c r="BD195" i="2"/>
  <c r="AH196" i="2"/>
  <c r="AP196" i="2"/>
  <c r="AQ196" i="2" s="1"/>
  <c r="AH197" i="2"/>
  <c r="AP197" i="2"/>
  <c r="AQ197" i="2"/>
  <c r="AH198" i="2"/>
  <c r="AP198" i="2"/>
  <c r="AH199" i="2"/>
  <c r="AP199" i="2"/>
  <c r="K200" i="2"/>
  <c r="AH200" i="2"/>
  <c r="AH201" i="2"/>
  <c r="K202" i="2"/>
  <c r="AH202" i="2"/>
  <c r="AP202" i="2"/>
  <c r="AQ202" i="2" s="1"/>
  <c r="BD202" i="2"/>
  <c r="K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tc={4090EB39-9261-5843-BBCA-CBD5DC348CF9}</author>
    <author>Claudia Oliden</author>
    <author>tc={3E52F909-B739-4A4A-AB99-F535504F1F07}</author>
    <author>tc={32947DFB-9E64-774E-AC67-B6C3B1B7BDB6}</author>
    <author>Manuel Lozoya</author>
  </authors>
  <commentList>
    <comment ref="AK8" authorId="0" shapeId="0" xr:uid="{4090EB39-9261-5843-BBCA-CBD5DC348CF9}">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Civoney</t>
      </text>
    </comment>
    <comment ref="I20" authorId="1" shapeId="0" xr:uid="{5F9DB373-A106-4D24-96E0-AE53F67F18B1}">
      <text>
        <r>
          <rPr>
            <b/>
            <sz val="9"/>
            <color indexed="81"/>
            <rFont val="Tahoma"/>
            <family val="2"/>
          </rPr>
          <t>Claudia Oliden:</t>
        </r>
        <r>
          <rPr>
            <sz val="9"/>
            <color indexed="81"/>
            <rFont val="Tahoma"/>
            <family val="2"/>
          </rPr>
          <t xml:space="preserve">
antes estaba marzo 2024 pero es un proyecto que no avanzó miguel inguanzo</t>
        </r>
      </text>
    </comment>
    <comment ref="I23" authorId="1" shapeId="0" xr:uid="{8216D151-638C-4914-B51B-12DAF388C640}">
      <text>
        <r>
          <rPr>
            <b/>
            <sz val="9"/>
            <color indexed="81"/>
            <rFont val="Tahoma"/>
            <family val="2"/>
          </rPr>
          <t>Claudia Oliden:</t>
        </r>
        <r>
          <rPr>
            <sz val="9"/>
            <color indexed="81"/>
            <rFont val="Tahoma"/>
            <family val="2"/>
          </rPr>
          <t xml:space="preserve">
Uriel comenta que lo de paradas NO autorizadas fue un requerimiento posterior que se hizo en marzo 2025.</t>
        </r>
      </text>
    </comment>
    <comment ref="AR76" authorId="2" shapeId="0" xr:uid="{3E52F909-B739-4A4A-AB99-F535504F1F0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Estos comentarios no coinciden con la descripción. Este proyecto es para que los pacientes nos den su geoposición, no para nosotros geoposicionarlos. Son soluciones distintas. @Claudia Oliden </t>
      </text>
    </comment>
    <comment ref="S107" authorId="3" shapeId="0" xr:uid="{32947DFB-9E64-774E-AC67-B6C3B1B7BDB6}">
      <text>
        <t>[Comentario encadenado]
Tu versión de Excel te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 ref="E152" authorId="4" shapeId="0" xr:uid="{70BB3C91-D651-4301-A99A-B9BF2D476902}">
      <text>
        <r>
          <rPr>
            <b/>
            <sz val="9"/>
            <color indexed="81"/>
            <rFont val="Tahoma"/>
            <family val="2"/>
          </rPr>
          <t>Manuel Lozoya:</t>
        </r>
        <r>
          <rPr>
            <sz val="9"/>
            <color indexed="81"/>
            <rFont val="Tahoma"/>
            <family val="2"/>
          </rPr>
          <t xml:space="preserve">
Ya se tiene actualmente con palabras claves. Se quiere integrar mas inteligencia y que funcione mas eficiente</t>
        </r>
      </text>
    </comment>
    <comment ref="I167" authorId="1" shapeId="0" xr:uid="{397D4ECC-8752-43E5-ADD1-FB17FC0395C4}">
      <text>
        <r>
          <rPr>
            <b/>
            <sz val="9"/>
            <color indexed="81"/>
            <rFont val="Tahoma"/>
            <family val="2"/>
          </rPr>
          <t>Claudia Oliden:</t>
        </r>
        <r>
          <rPr>
            <sz val="9"/>
            <color indexed="81"/>
            <rFont val="Tahoma"/>
            <family val="2"/>
          </rPr>
          <t xml:space="preserve">
Miguel indicó que se espera inicie en julio 2025.</t>
        </r>
      </text>
    </comment>
  </commentList>
</comments>
</file>

<file path=xl/sharedStrings.xml><?xml version="1.0" encoding="utf-8"?>
<sst xmlns="http://schemas.openxmlformats.org/spreadsheetml/2006/main" count="3813" uniqueCount="1190">
  <si>
    <t>Nuevo</t>
  </si>
  <si>
    <t xml:space="preserve">Tener disponible la información y documentos que alimentarán el sitio.
</t>
  </si>
  <si>
    <t>Validar con Heberto Marín beneficios y el material que alimentará el sitio.</t>
  </si>
  <si>
    <t>Producción/Distribución Envasados</t>
  </si>
  <si>
    <t>Claudia Oliden</t>
  </si>
  <si>
    <t>Sí</t>
  </si>
  <si>
    <t>Operaciones</t>
  </si>
  <si>
    <t>Zaida Del Llano</t>
  </si>
  <si>
    <t>NA</t>
  </si>
  <si>
    <t>Heberto Marín</t>
  </si>
  <si>
    <t>Arturo Lozano</t>
  </si>
  <si>
    <t xml:space="preserve">Digital </t>
  </si>
  <si>
    <t>Proyecto nuevo</t>
  </si>
  <si>
    <t>Digital Nlatam - Citizen Developers</t>
  </si>
  <si>
    <t>On time</t>
  </si>
  <si>
    <t>Esta solución sustituye repositorios dispersos y procesos manuales de búsqueda por una plataforma digital única, mejorando la accesibilidad y la colaboración entre equipos. La centralización de información reduce tiempos de consulta, minimiza errores y asegura la actualización continua de contenidos. Además, impulsa la estandarización de procesos, fortalece la capacitación y contribuye a la transformación digital del negocio, optimizando la productividad y el cumplimiento normativo.</t>
  </si>
  <si>
    <t>Desarrollo de un sitio en SharePoint para el área de Operaciones de PGP (Gases Envasados). El sitio centralizará información relevante como procedimientos operativos, materiales de capacitación, recursos de apoyo para el área de  operaciones, dashboards y otras herramientas digitales para administración de la opreción (KPIS operativos), así como documentación clave para garantizar la eficiencia y el acceso rápido a contenidos críticos.</t>
  </si>
  <si>
    <t>Sitio de Sharepoint de OPERACIONES del negocio de PGP.</t>
  </si>
  <si>
    <t>Marketing/Ventas Cilindros</t>
  </si>
  <si>
    <t>Marina Davila</t>
  </si>
  <si>
    <t>Aydee Treviño</t>
  </si>
  <si>
    <t>Edgar Madrigal</t>
  </si>
  <si>
    <t>Cindy Lozano</t>
  </si>
  <si>
    <t>Proyecto Nuevo</t>
  </si>
  <si>
    <t>Integración de reporte mensual del CIAC que actualmente se genera manual para tener un reporte en Power BI las distintas secciones a reportar de manera automatizada</t>
  </si>
  <si>
    <t>Automatización de reporte de resultados mensual CIAC</t>
  </si>
  <si>
    <t>Se requiere feedback por parte de David Calatayud sobre el impacto en beneficios de este proyecto.</t>
  </si>
  <si>
    <t>PGP Nacional</t>
  </si>
  <si>
    <t>Jose Ramón</t>
  </si>
  <si>
    <t>David Calatayud</t>
  </si>
  <si>
    <t>David Márquez</t>
  </si>
  <si>
    <t>N/A</t>
  </si>
  <si>
    <t>Digital Nlatam - Practicantes</t>
  </si>
  <si>
    <t>On going</t>
  </si>
  <si>
    <t>Actualmente no hay una base central para este tipo de documentos, se encuentran en one drive de varias personas. Así mismo no se cuenta con un sistema que alerte del vecimiento próximo de estos documentos. El área de Asuntos Regulatorios fungirá como administradora de estos documentos y de ahi surge la necesidad de esta herramienta. La BD se complementará con una APP para alimentación, consulta y edición de los registros de estos documentos críticos.</t>
  </si>
  <si>
    <t>Desarrollo de una base de documentos críticos para el negocio de Gases Medicinales como: Registros Sanitarios de Gases Medicinales, Registros Sanitarios de Dispositivos Médicos y Certificados de Buenas Prácticas de Fabricación de Medicamentos en Plantas PGP Linde México.</t>
  </si>
  <si>
    <t>Base y APP de alimentación/edición para documentos críticos para el negocio de Gases Medicinales</t>
  </si>
  <si>
    <t>Oscar Flores</t>
  </si>
  <si>
    <t>Ventas &amp; Mkt.</t>
  </si>
  <si>
    <t>No iniciado</t>
  </si>
  <si>
    <t>Sesión para detallar requerimientos - Alertamiento a nivel localidad</t>
  </si>
  <si>
    <t>Volume Trends PGP</t>
  </si>
  <si>
    <t>Pilar Arenas</t>
  </si>
  <si>
    <t>PGP Churn Analysis Tool</t>
  </si>
  <si>
    <t>IT</t>
  </si>
  <si>
    <t>Transformación Digital</t>
  </si>
  <si>
    <t>AI Algoritmo que analice y genere información de Ventas Cruzadas Potenciales basado en data de JDE</t>
  </si>
  <si>
    <t>AI Algoritmo para Cross Selling</t>
  </si>
  <si>
    <t>Se acordó agendar nueva sesión con Fernando Mosqueira de IT para evaluar la parte de esfuerzo Nov25</t>
  </si>
  <si>
    <t>Manuel Lozoya</t>
  </si>
  <si>
    <t>IT Group</t>
  </si>
  <si>
    <t>Sesión para entender el modelo de Negocio - Requerimientos - Mapeos, etc.</t>
  </si>
  <si>
    <t>Plataforma de Venta de servicios a través de red de medicos.</t>
  </si>
  <si>
    <t>Nuevo Arrancado</t>
  </si>
  <si>
    <t>Compliance / Control</t>
  </si>
  <si>
    <t xml:space="preserve">S Herramienta en apoyo a la implementación de la firma electrónica en PGP.
</t>
  </si>
  <si>
    <t>Miguel Delgado</t>
  </si>
  <si>
    <t>Digital</t>
  </si>
  <si>
    <t>Terminado</t>
  </si>
  <si>
    <t>No</t>
  </si>
  <si>
    <t>Finanzas, RH, Administración</t>
  </si>
  <si>
    <t>Esta iniciativa sustituye procesos manuales y dispersos por un sistema centralizado que agiliza la captura y resolución de incidencias en la implementación de la firma electrónica en el negocio de PGP, reduciendo errores y tiempos de respuesta. La integración con Power BI proporcionará visibilidad de áreas críticas para mejorar la implementación a nivel nacional de la firma electrónica.</t>
  </si>
  <si>
    <t>Desarrollo de una base de datos y una aplicación para registrar incidencias reportadas por los usuarios durante la implementación de la firma electrónica. La solución permitirá dar seguimiento y resolver las incidencias de manera estructurada, asegurando la trazabilidad y la correcta gestión de cada caso. Posteriormente, se complementará con un visor en Power BI que mostrará métricas clave como tipos de incidencia, localidades afectadas y tiempos de cierre.</t>
  </si>
  <si>
    <t>APP para Backlog de incidencias en implementación del proyecto de firma electrónica.</t>
  </si>
  <si>
    <t>1. Sesión con Oscar Flores para alinear la necesidad con un solo proyecto - 3 al 7 de Marzo</t>
  </si>
  <si>
    <t>Esta necesidad se cubre con el Proyecto "Rental &amp; Fees Tracking"</t>
  </si>
  <si>
    <t>José Ramón Rodríguez</t>
  </si>
  <si>
    <t>Jorge Ruíz</t>
  </si>
  <si>
    <t>Duplicado / Cancelado</t>
  </si>
  <si>
    <t>Digital Nlatam</t>
  </si>
  <si>
    <t>Cancelado</t>
  </si>
  <si>
    <t>Visualizar los cilindros y /o activos asignados a clientes vs a los que les cobramos renta con el objetivo de identificar oportunidades de manera sencilla y ágil (Cilindros y tanques / inventario de activos por cliente).</t>
  </si>
  <si>
    <t>Reporte para visualizar cilindros asignados a clientes Vs cobro de renta</t>
  </si>
  <si>
    <t>Jesus Fraustro</t>
  </si>
  <si>
    <t>Servicio al Cliente</t>
  </si>
  <si>
    <t>Para cada folio de reclamación creado en el sistema de reclamaciones, asignar al responsable de atención. Fase 1 Mx, Fase 2 PHN</t>
  </si>
  <si>
    <t>Automatización de la asignación de reclamaciones</t>
  </si>
  <si>
    <t>Evaluar si pudiera ser en paralelo con el proyecto anterior de crear la reclamación por el cte en cualquier canal digital o si se puede trabajar en paralelo y luego conectar</t>
  </si>
  <si>
    <t>Servicio al cliente</t>
  </si>
  <si>
    <t>Crear ordenes automáticas de reposición EY al momento que el cliente levante su reclamación por producto o contenedor. Y Conocer su estatus. Fase 1 Mx, Fase 2 PHN</t>
  </si>
  <si>
    <t>Automatización en la generación órdenes EY de reclamación</t>
  </si>
  <si>
    <t>Habilitar un nuevo sistema de gestión de contenido (wordpress) para clippings México &amp; PHN donde los colaboradores puedan interactuar con la información de la plataforma con acceso directo a fuentes web</t>
  </si>
  <si>
    <t>Clippings v2</t>
  </si>
  <si>
    <t>Ya se desarrollo un tag físico para colocarle al cilindro que es un Cil de reclamación</t>
  </si>
  <si>
    <t>Para las reclamaciones documentandas en el SMC asignar y firmar automáticamente a las localidades que estarán participando en la trazabilidad del contenedor o dispositivos médicos, acorde a la información de Trackabout. Revisar Proyecto Integral con Jesus Fraustro - buscar la autopmatización de flujos</t>
  </si>
  <si>
    <t>Trazabilidad automática de reclamaciones</t>
  </si>
  <si>
    <t>Temporalmente Proyecto  nuevo</t>
  </si>
  <si>
    <t>Control de activos
Reducción de tiempo de ciclo del proceso (definir tiempo)
Reducción de tiempos por carga administrativa (Definir tiempo linerado)</t>
  </si>
  <si>
    <t>1. Sesión con Erika Acosta para validar el alcance de requerimientos y como acelerar el proyecto para revisar si sigue siendo prioridad
Se acordó agendar nueva sesión con Fernando Mosqueira de IT para evaluar la parte de esfuerzo Nov25</t>
  </si>
  <si>
    <t>S: Revisar con Montserrat Mejía al haber cambios en el dueño de la iniciativa</t>
  </si>
  <si>
    <t xml:space="preserve">Excelencia operacional </t>
  </si>
  <si>
    <t>Sergio Villalobos</t>
  </si>
  <si>
    <t>Erika Acosta</t>
  </si>
  <si>
    <t>SSC</t>
  </si>
  <si>
    <t xml:space="preserve">1. Terminar las integraciones con los sistemas columna vertebral traera una importante reducción de trabajo manual por parte de los usuarios.
2. Reducción de tiempo de ciclo del proceso desde la solicitud del producto hasta la entrega final de la dotación.
3. Reducción de carga administrativa para el área comercial </t>
  </si>
  <si>
    <t>Terminar integraciones con JDE y CRM como etapa 2 del proyecto.
Revisar con IT - Flujos y sistemas / Requerimientos</t>
  </si>
  <si>
    <t>Fase 2 de sistema de dotaciones</t>
  </si>
  <si>
    <t>Una complejidad adicional es certificar el sistema en el sistema de Calidad. Esto implicaría certificar el sistema por donde se registre la reclamación
Se acordó agendar nueva sesión con Fernando Mosqueira de IT para evaluar la parte de esfuerzo Nov25</t>
  </si>
  <si>
    <t>Se tiene el diagrama avanzado en conjunto con el área de Transformación Digital</t>
  </si>
  <si>
    <t>Tania Mercado</t>
  </si>
  <si>
    <t>Darle Autonomía al Cliente para que registre su reclamación y darle seguimiento</t>
  </si>
  <si>
    <t>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
Revisar cómo integrar el SMC - al CRM para evaluar el mejor canal para hacerlo en la Fase 1</t>
  </si>
  <si>
    <t>Documentación de reclamaciones Omnicanal con validación de procedencia</t>
  </si>
  <si>
    <t>1. Reducir reclamaciones por incumplimiento en entregas
2. Mejorar el nivel de servicio a clientes</t>
  </si>
  <si>
    <t>Ingresos por recuperación de costos por viajes en falso</t>
  </si>
  <si>
    <t>1. Dar forma al proyecto
2. Validar el alcance del SIRA</t>
  </si>
  <si>
    <t>S: Se identificó oportunidad con usuario y se requiere definiciones de alcances y líderes para el proyecto.
N: Revisar el alcance de SIRA y sus reportes para evalauar la viabiliadad de construir el reporte y la automatización de mensajes y alertas</t>
  </si>
  <si>
    <t>TBD</t>
  </si>
  <si>
    <t>César Moreno</t>
  </si>
  <si>
    <t xml:space="preserve">Raúl Gallegos </t>
  </si>
  <si>
    <t>Definir</t>
  </si>
  <si>
    <t>Trans Digital / Digital</t>
  </si>
  <si>
    <t>Stand by</t>
  </si>
  <si>
    <t>1. Este reporte debe dar la visibilidad suficiente para anticiparse a una posible reclamación del cliente, pasamos de ser una empresa reactiva a una proactiva, cuidando la experiencia del cliente
2. Asegura una alineación oportuna entre la operación, logística y el área comercial. Todas las áreas involucradas manejan la misma información al mismo tiempo
3. Ayuda a identificar oportunidades de mejora, tras la identificación de patrones de falla que pueden ser controlados y mitigados
4. Mejoramos nuestra capacidad de respuesta y reduce los tiempos entre la comunicación humana y el análisis de información</t>
  </si>
  <si>
    <t>Reporte en tiempo real que permita identificar a diario las entregas parciales o que no se hicieron a clientes de gases especiales y el motivo, además de asegurar el proceso de comunicación y gestión comercial oportuna con los clientes. Conectar el reporte de power BI con power automate puede enviar alertas automáticas al responsable del pedido, actualizar tableros y conectarse con CRM para dar visibilidad automática.</t>
  </si>
  <si>
    <t xml:space="preserve">Reporte de ordenes no entregadas o entregadas de forma parcial para clientes de gases especiales.  </t>
  </si>
  <si>
    <t>Control de activos
Cilindros en lento Movimiento (Validar KPI para especiales)</t>
  </si>
  <si>
    <t xml:space="preserve">Ingresos por rentas </t>
  </si>
  <si>
    <t xml:space="preserve">Se identifica que hay un problema en la calidad de la información de TA con cilindros duplicados. Tiene que corregirse primero esta DATA
Se acordó agendar nueva sesión con Fernando Mosqueira de IT para evaluar la parte de esfuerzo Nov25
</t>
  </si>
  <si>
    <t>S: Actualmente se tienen herramientas como Green Mile que permite rastrear un pedido.
N: Revisar con el negocio los requerimientos para definir alcance
Se identifica que hay un problema en la calidad de la información de TA con cilindros duplicados. Tiene que corregirse primero esta DATA</t>
  </si>
  <si>
    <t>PGP Especiales</t>
  </si>
  <si>
    <t>Arael Mejía</t>
  </si>
  <si>
    <t>1. Los prodcuctos CONSOL tienen un manejo especial, para que se autorice su venta y distribución.  Esta integración permitirá llevar un rastreo minucioso de donde se encuentran y su regreso seguro a la planta.
2. Mejora en la trazabilidad de los cilindros 
3. Reducción de perdida de cilindros</t>
  </si>
  <si>
    <t>Fase 1. Rastrear con TA los cilindros pedidos a través de CONSOL desde su salida de planta Santo Domingo a localidades Linde y posteriormente al cliente.
Fase 2. Programación automática en JDE
Revisar con Negocio e IT</t>
  </si>
  <si>
    <t>Conexión CONSOL con TA para el rastreo de cilindros de Gases Especiales
% de inicialización de cilindros
% de rastreo vs Cilindros entreados &gt; 98%</t>
  </si>
  <si>
    <t>S: Automatizar el proceso de autorización y actualización de precios en JDE cuando es SPOT
N: Revisar con Negocio y IT requerimientos para evaluar opciones de desarrollo. Revisar con negocio si la iniciativa que ya se tiene con IT puede ayudar a este requerimiento. Silverio Hernández</t>
  </si>
  <si>
    <t>Marina Dávila</t>
  </si>
  <si>
    <t>Elena Morales</t>
  </si>
  <si>
    <t>Marco Pacheco</t>
  </si>
  <si>
    <t>IT Local</t>
  </si>
  <si>
    <t>Automatizar el proceso de autorización y actualización de precios en JDE</t>
  </si>
  <si>
    <t>Proceso de cambio de precios especiales HG</t>
  </si>
  <si>
    <t>Heberto Marin</t>
  </si>
  <si>
    <t>Duplicado con el de cadena de suministro de Helio. Ya lo está trabajando Heberto Marin</t>
  </si>
  <si>
    <t>Control de la merma y residuales de Helio en Pipas de Helio</t>
  </si>
  <si>
    <t>Tiempo
Costo</t>
  </si>
  <si>
    <t>Proyecto on Hold por el negocio en lo que se re-define el modelo de operación de Retail a Modelo de Ventas Minoristas. EL negocio confirmará cuando se puede retomar</t>
  </si>
  <si>
    <t>S: Se desarrollo una primer etapa para Bulk que termina en 2025, se decisión poner on Hold el alcance para PGP
N: Retomar proyecto para PGP. Primero Definir reglas de negocio</t>
  </si>
  <si>
    <t>PGP Nte./ Occidente / Noroeste</t>
  </si>
  <si>
    <t>Juan Lopez
 Julio Olvera</t>
  </si>
  <si>
    <t>NinfaEdith Fernández / Deyanira Blanco (negocio)</t>
  </si>
  <si>
    <t xml:space="preserve">Sistema para calcular la compensación variable de personal comercial de Retail.
</t>
  </si>
  <si>
    <t xml:space="preserve">COMPENSA Sistema de compensación variable para Retail  (Ventas)  </t>
  </si>
  <si>
    <t>A2</t>
  </si>
  <si>
    <t>Revisar si se puede utilizar una solución que ya se está desarrollando en Bulk de datos de Plamtas</t>
  </si>
  <si>
    <t>Asistente virtual que monitoree en tiempo real  la operación relacionada a inventarios, cilindros y decisiones de la operación</t>
  </si>
  <si>
    <t>Agente virtual con AI proactivo para Operación PGP</t>
  </si>
  <si>
    <t>Finanzas/RH/Compras/Nitropet</t>
  </si>
  <si>
    <t>Externo /IT</t>
  </si>
  <si>
    <t>Digitalización y resguardo centralizado de expedientes de clientes de GE.</t>
  </si>
  <si>
    <t>Centralización digitalización de expedientes</t>
  </si>
  <si>
    <t>Digital EU</t>
  </si>
  <si>
    <t>Nueva versión del cotizador realizada por la Corporación integrada con Dynamics CRM, con potencial de realizar Cross Selling</t>
  </si>
  <si>
    <t xml:space="preserve">Cotizador de Gases PGP </t>
  </si>
  <si>
    <t>Lograr la integración de todos los canales donde los clientes tienen interacción parara que Agentes Call Center/ CIAC / Usuarios de CRM / Vendedores Inhouse puedan tener una visión 360 del total de interacciones que el cliente tiene con Linde</t>
  </si>
  <si>
    <t>Omnicalalidad CRM integración de canales Digitales de clientes</t>
  </si>
  <si>
    <t>Ya está funcionando</t>
  </si>
  <si>
    <t>Herramienta Digital para identificar las oportuidades de escaneos de códigos que no son de Trackabout y genera un registro nuevo. Por ejemplo deja escanear códigos de otras cosas que no son cilindros y genera un registro</t>
  </si>
  <si>
    <t>Identificación de escaneo de códigos etiquetas incorrectas</t>
  </si>
  <si>
    <t>Sería un reporte automático y por excepción</t>
  </si>
  <si>
    <t>Herramienta Digital para identificar las oportuidades de escaneos erroneos en los procesos de recolección y embarque. (El mismo cilindro escaneado múltuples veces en un periodo de tiempo, ubicación, que muestre esas excepciones)</t>
  </si>
  <si>
    <t>Identificación de duplicados en escaneo TA</t>
  </si>
  <si>
    <t>Recuperación de costos de operación por viajes en falso</t>
  </si>
  <si>
    <t>Aldo Maldonado</t>
  </si>
  <si>
    <t>Cargo automático de cilindros paseados desde la entrega el conductor detone el proceso de facturación. Los cargos hoy son manuales incluir estadías. Se explorará la herramienta de PROFITS de Digital Americas para conectar esta solución a otros desarrollos</t>
  </si>
  <si>
    <t>Automatización de la facturación por cilindros paseados desde la entrega el conductor detone el proceso de facturación. Los cargos hoy son manuales incluir estadías.</t>
  </si>
  <si>
    <t>Compliance</t>
  </si>
  <si>
    <t>S: Parte final del proyecto de Compliance. Se está desarrollando el visor.</t>
  </si>
  <si>
    <t>Eduardo Galván</t>
  </si>
  <si>
    <t>Diana Rodríguez</t>
  </si>
  <si>
    <t>Santiago Juárez</t>
  </si>
  <si>
    <t>Este visor reemplaza procesos manuales y dispersos por una plataforma centralizada que garantiza visibilidad y control sobre el cumplimiento regulatorio. La automatización reduce riesgos de sanciones, mejora la trazabilidad y facilita auditorías, asegurando que cada unidad cumpla con los estándares legales. Además, optimiza la gestión documental, ahorra tiempo en la verificación de requisitos y fortalece la toma de decisiones estratégicas en materia de seguridad y normatividad.</t>
  </si>
  <si>
    <t>Desarrollo de un visor de compliance que consolide los permisos y requerimientos exigidos por autoridades como COFEPRIS, STPS y SSYPA para todas las localidades de Linde México, incluyendo PGP, GI, Onsite, Nitropet, oficinas corporativas e inmuebles. La herramienta también integra los requerimientos aplicables a las unidades de distribución de PGP, Bulk y Nitropet, ofreciendo una visión integral del cumplimiento normativo en cada instalación y operación.</t>
  </si>
  <si>
    <t>Visor Compliance permisos y requerimientos de autoridades para los negocios de Linde México.</t>
  </si>
  <si>
    <t xml:space="preserve">Tiempo </t>
  </si>
  <si>
    <t>Se determina con Deyanira Blanco que se trabajará en el negocio con el geoposicionamiento de clientes. No hay dependencia ya del grupo de Digitalización ni de IT, dado que la solución es directamete Roadnet</t>
  </si>
  <si>
    <t xml:space="preserve">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
N: Implementar en el resto de las regiones, dependencia de Geoposicionamiento de clientes a nivel nacional a cargo del negocio
</t>
  </si>
  <si>
    <t xml:space="preserve">Juan Romero </t>
  </si>
  <si>
    <t xml:space="preserve">Deyanira Blanco </t>
  </si>
  <si>
    <t xml:space="preserve">IT Local </t>
  </si>
  <si>
    <t>Planeación en Roadnet para rutas Retail</t>
  </si>
  <si>
    <t>Planeación centralizada de rutas para conductores Retail</t>
  </si>
  <si>
    <t>A8</t>
  </si>
  <si>
    <t>S: Se enlista necesidad general
N: Se requiere reunión con Negocio para detallar alcances y detalle de requerimientos</t>
  </si>
  <si>
    <t>Armando Guerrero</t>
  </si>
  <si>
    <t>no asignado</t>
  </si>
  <si>
    <t>Obed Vázquez</t>
  </si>
  <si>
    <t>SHEQ</t>
  </si>
  <si>
    <t>Generación de grupos de TEAMS donde personal de Linde pueda documentar y dar seguimientos a hallazgos de seguridad y limpieza en localidades.</t>
  </si>
  <si>
    <t>Seguimiento a tareas de Seguridad SOS a través de Teams.</t>
  </si>
  <si>
    <t>Este desarrollo permitirá dar de alta clientes nuevos directo en e-channel y no sólo manejar a los clientes actuales. Revisar con IT, el Share Service Center está involucrado.</t>
  </si>
  <si>
    <t>Registro de clientes nuevos en E-Channel Fase 1 Hardgoods</t>
  </si>
  <si>
    <t>Desarrollo</t>
  </si>
  <si>
    <t>Definición rápida de alcance del proyecto con Manuel Lozoya. Validar lo del login facial con RH dado que las BD y dispositivo son de proveedores externos.</t>
  </si>
  <si>
    <t>S: Se identifica la necesidad y se tienen sesiones con distintas areas del negocio para conocer la tecnología actual disponible. Marina Dávila solicita a Roberto Mtz acceso a las BD de datos donde se tiene reconocimiento facial para primeras pruebas.
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t>
  </si>
  <si>
    <t>Alfredo Luna</t>
  </si>
  <si>
    <t>Distribución</t>
  </si>
  <si>
    <t>Desarrollo de una Herramienta Digital para llevar el seguimiento y control de las Hrs de manejo de Conductores Profesionales</t>
  </si>
  <si>
    <t>BD y APP para el control de Horas de Manejo de Conductores profesionales PGP, Bulk y Nitropet</t>
  </si>
  <si>
    <t>Desarrollo de una Herramienta Digital para llevar el seguimiento y control de las Hrs de servicio de Conductores Profesionales</t>
  </si>
  <si>
    <t>BD y APP para el control de Horas de Servicio de Conductores profesionales PGP, Bulk y Nitropet</t>
  </si>
  <si>
    <t>S: Se registra la card 36696 para la creación del modelo de datos de cual se alimentará el dashboard en power bi. Aplicación de power Apps en desarrollo para el registro de las prefacturas y A3
N: Seguimiento con Juan Romero para la creación del modelo de datos.</t>
  </si>
  <si>
    <t>PGP Centro/Sur</t>
  </si>
  <si>
    <t>Alejandro Torres</t>
  </si>
  <si>
    <t>Aplicación para la captura de prefacturas y ordenes A3 para la administracion de saldos. Visor en power BI donde se pueda dar seguimiento a reportes de saldos y estatus de prefacturas por cliente</t>
  </si>
  <si>
    <t>App and Dashboard for Pre-Invoicing and deliveries tracking</t>
  </si>
  <si>
    <t>Piloto de Venta en Mercalo Libre de HG´s</t>
  </si>
  <si>
    <t>Incremento de Ventas en Línea de HG´s (Mercado libre, Market Places)</t>
  </si>
  <si>
    <t>Miguel González Moreno</t>
  </si>
  <si>
    <t>Gabriela Barriga</t>
  </si>
  <si>
    <t>Alan Mendoza</t>
  </si>
  <si>
    <t>Este desarrollo elimina la gestión manual, reduciendo errores y acelerando la actualización de precios especiales, lo que garantiza el cumplimiento de acuerdos contractuales y evita retrasos en la facturación. La automatización incrementa la eficiencia operativa, optimiza recursos y asegura trazabilidad en cada solicitud, fortaleciendo la transparencia y la confiabilidad del proceso.</t>
  </si>
  <si>
    <t>Implementación de un proceso RPA para automatizar el alta de precios especiales en el sistema, basado en contratos previamente firmados con clientes. La solución también contempla la automatización de la generación de solicitudes de precios especiales para contratos con entidades gubernamentales, asegurando que las condiciones pactadas se reflejen de manera precisa y oportuna en el sistema comercial.</t>
  </si>
  <si>
    <t>RPA para alta de precios especiales en sistema basado en contratos firmados con clientes.</t>
  </si>
  <si>
    <t>Se evaluará este proyecto con Arturo Lozano para validar con él si es prioritario o no.</t>
  </si>
  <si>
    <t>ND</t>
  </si>
  <si>
    <t>Reconocimiento facial a conductores profesionales para contar sus horas de servicio y tener disponible en un tablero:
i.	En el acceso a la localidad para el check in e inician las horas de servicio.
ii.	En la unidad check in para iniciar la ruta e inician horas de conducción.
iii.	Check out al terminar la ruta.
iv.	Check out al salir de la localidad y cerrar las Horas de servicio del conductor.</t>
  </si>
  <si>
    <t>Automatización de proceso de validación de conductores en tecnología a bordo de unidades.</t>
  </si>
  <si>
    <r>
      <t xml:space="preserve">Control de la operación 
Tiempo promedop de actualización del tablero </t>
    </r>
    <r>
      <rPr>
        <u/>
        <sz val="9"/>
        <color theme="1"/>
        <rFont val="LindeDaxGlobal"/>
      </rPr>
      <t xml:space="preserve">(&lt; 1 </t>
    </r>
    <r>
      <rPr>
        <sz val="9"/>
        <color theme="1"/>
        <rFont val="LindeDaxGlobal"/>
      </rPr>
      <t>día</t>
    </r>
    <r>
      <rPr>
        <u/>
        <sz val="9"/>
        <color theme="1"/>
        <rFont val="LindeDaxGlobal"/>
      </rPr>
      <t>)</t>
    </r>
  </si>
  <si>
    <t>Se revisó en sesión con Hector Cuellar y Gonzalo Espinosa y se determinó un proyecto Nice to Have, por lo que estaría en el listado pero sin prioridad crítica</t>
  </si>
  <si>
    <t>S: Se revisa con equipo de Operaciones y se determina que es un proyecto nice to have y se evaluaría mas adelante si fuera necesario</t>
  </si>
  <si>
    <t>Uriel Torres</t>
  </si>
  <si>
    <t>Gonzalo Espinosa</t>
  </si>
  <si>
    <t xml:space="preserve">Digital / IT </t>
  </si>
  <si>
    <t>1.  Automatización de reportes
2.  Mejora en visibilidad de KPIs
3. Optimización en toma de decisiones
4. Reducción de errores manuales</t>
  </si>
  <si>
    <t>Desarrollar tableros a partir de la información de TA para monitorear la operación en plantas y CEDIS.</t>
  </si>
  <si>
    <t>Tablero TA en pantallas en plantas y CEDIS* (Nice to Have)</t>
  </si>
  <si>
    <t>Control</t>
  </si>
  <si>
    <t>Replantear necesidad probablemente con algo más avanzado con tecnología. (Ejemplo Cámaras) Si se requiere una verificación a la salida de la localidad.</t>
  </si>
  <si>
    <t>S: El Avión es un formato que actualmente se utiliza para contabilizar cilindros que sale a la ruta. Es en papel.
N: Revisar con el negocio los requerimientos para evaluar</t>
  </si>
  <si>
    <t>Practicantes</t>
  </si>
  <si>
    <t>IT local/digital</t>
  </si>
  <si>
    <t xml:space="preserve">Formato digital para sustituir el avión de entrada y salida de unidades para mejorar el control y aprovechar el uso de información digital 
</t>
  </si>
  <si>
    <t>Desarrollo para sustituir avión de entrada y salida de unidades *</t>
  </si>
  <si>
    <t xml:space="preserve">Control / Compliance
</t>
  </si>
  <si>
    <t>1. Investigar cómo y qué tipo de soloción de inteligencia artificial nos puede ser util para resolver esta necesidad</t>
  </si>
  <si>
    <t>producción/Distribución Envasados</t>
  </si>
  <si>
    <t>Digital / IT</t>
  </si>
  <si>
    <t>1. Este desarrollo puede identificar automáticamente comportamientos o situaciones de riesgo, como el no uso de EPP, accesos no autorizados a zonas restringidas, manipulación indebida de productos omateriales, 
2. Tendremos la posibilidad de identificar situaciones de riegso antes de que ocurran
3. Cada evento queda registrado y trazado digitalmente, generando evidencia auditable
4. Automatiza actividades de supervisión
5. Cobertura 24/7 múltiples áreas sin necesidad de recursos humanos
6. Seguridad integral y mitigación de riesgos
7. Fortalece la cultura de cumplimiento y responsabilidad</t>
  </si>
  <si>
    <t>Instalación de cámaras que con IA detecten en las localidades riesgos o faltas de compliance o seguridad</t>
  </si>
  <si>
    <t xml:space="preserve">Cámaras en áreas designadas para recuperación de cilindros </t>
  </si>
  <si>
    <t>Evaluar si se requiere integrar al SMC estos cambios para que directamente se registren estos checklist ahí</t>
  </si>
  <si>
    <t>Habilitar los checklists de inspección técnica en formato digital para el equipo de operaciones cuando analicen sus reclamaciones de producto y contenedor y esté sincronizado con el sistema de reclamaciones</t>
  </si>
  <si>
    <t xml:space="preserve">Inspección técnica digital de reclamaciones por contenedor producto </t>
  </si>
  <si>
    <t>Uso de la herramienta Profits para automatizar flujos de autorización de oportunidades de inventarios de cilindros</t>
  </si>
  <si>
    <t>Automatización de flujos de autorización de oportunidades de recuperación de inventarios de cilindros con clientes</t>
  </si>
  <si>
    <t>Se revisó con otras regiones en elmundo, La inversión estimada es alta dado que habría que sustituir JDE como punto de venta, lo que involucra un cambio mayor a nivel global. Por evaluar para 2026</t>
  </si>
  <si>
    <t>S: Mejorara el proceso de facturación en punto de venta, actualmente se usa JDE como POS
N: Junta con Negocio para definir requerimientos de negocio y evaluar</t>
  </si>
  <si>
    <t xml:space="preserve">Mejoras en el sistema de facturación en punto de venta y control de inventarios (Códigos de barras, aplicación de cupones, pago de servicios etc.) 
</t>
  </si>
  <si>
    <t>Mejorar el sistema de facturación en punto de venta</t>
  </si>
  <si>
    <t>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t>
  </si>
  <si>
    <t>Plataforma de gestión de experiencias</t>
  </si>
  <si>
    <t>NOTA ESPECIAL: ESTE PROYECTO SE VA A CANCELAR PARA INTEGRARLO EN EL PROYECTO DE KPIS DE OPERACIONES, POR DEFINIR SI ESTO SE MANEJARÁ ASÍ.</t>
  </si>
  <si>
    <t>Este tablero fue un requerimiento de Arturo Lozano, sin embargo se está planeando otro proyecto con KPIS de OPERACIONES, lo cual puede absover este requerimiento. Se considera cancelar este proyecto para ingresarlo en el otro de tablero KPIS OPERACIONES.</t>
  </si>
  <si>
    <t>S: Se tienen actualmente KPIs de distribución.
N: se requiere junta con el negocio para definir requerimientos y alcances de la oportunidad</t>
  </si>
  <si>
    <t>Este tablero sustituye reportes manuales y dispersos por una herramienta centralizada y dinámica, reduciendo el tiempo dedicado a la recopilación y análisis de datos. La automatización mejora la precisión, disminuye errores y facilita la toma de decisiones estratégicas basadas en información actualizada. Además, aporta agilidad en la identificación de desviaciones, optimiza la planificación y contribuye al cumplimiento de objetivos operativos y normativos.</t>
  </si>
  <si>
    <t>Desarrollo de un tablero interactivo en Power BI que consolide y visualice los principales indicadores clave (KPIs) del área de Distribución. La solución permitirá monitorear en tiempo real métricas críticas como tiempos de entrega, nivel de servicio, utilización de recursos y eficiencia operativa, ofreciendo una vista integral para la gestión y control del desempeño.</t>
  </si>
  <si>
    <t>Visor de principales KPIS de Distribución PGP</t>
  </si>
  <si>
    <t>Time Reduction</t>
  </si>
  <si>
    <t>Miguel González</t>
  </si>
  <si>
    <t>Visor que permita tener en forma de resumen toda la informacíón sobre mantenimientos de pgs´s en plantas envasados: Plantas, operadores, cantidad pgs, tipos de mantenimientos, horas, productividad, costos.</t>
  </si>
  <si>
    <t>Digital Tool for tracking PGS Maintenance Program</t>
  </si>
  <si>
    <t>Add. Sales</t>
  </si>
  <si>
    <t>S: Se revisan avances de la herramienta (1 sep) y se solicitan ajustes
N: Proxima reunión de seguimiento 18 sep</t>
  </si>
  <si>
    <t>VP Gases Envasados</t>
  </si>
  <si>
    <t>Ivan Arredondo</t>
  </si>
  <si>
    <t>Francisco Mata</t>
  </si>
  <si>
    <t>Digitalización</t>
  </si>
  <si>
    <t>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t>
  </si>
  <si>
    <t>Visor PBI con información clave para el area comercial del negocio PGP: Clientes y empresas en el mercado con clasificación CLEE y PSO, ubicaciones y análisis de  ventas.</t>
  </si>
  <si>
    <t>IA Inteligencia de Mercado (Dashboard)</t>
  </si>
  <si>
    <t>Finanzas/RH/</t>
  </si>
  <si>
    <t>Mariana Becerra</t>
  </si>
  <si>
    <t>Valenti Arriaga</t>
  </si>
  <si>
    <t>Este programa sustituye capacitaciones presenciales y dispersas por una solución digital centralizada, reduciendo costos y tiempos de formación. La automatización del aprendizaje mejora la disponibilidad de contenidos, asegura la estandarización del conocimiento y facilita la actualización continua. Además, contribuye al desarrollo del talento, incrementa la productividad y garantiza el cumplimiento normativo, impulsando la transformación digital en la gestión administrativa.</t>
  </si>
  <si>
    <t>Desarrollo de un programa de capacitación digital enfocado en temas críticos administrativos del negocio de Gases Envasados. La iniciativa busca ofrecer contenidos estructurados y accesibles en formato digital, haciendo un curriculum (video y examen) en Elevate por cada puesto del área de retail y administración, garantizando que el personal adquiera conocimientos clave para la correcta gestión operativa y administrativa, fortaleciendo la eficiencia y el cumplimiento de procesos internos.
Mapear procesos que requieren y cómo se asocia a Elevate como solución.</t>
  </si>
  <si>
    <t>Capacitación digital administrativa</t>
  </si>
  <si>
    <t>Manuel Lozoyd</t>
  </si>
  <si>
    <t>Análisis descriptivo de datos que permita identificar patrones y lanzar alertas sobre el proceso de medición de mermas. Puede incluir modelo predictivo</t>
  </si>
  <si>
    <t>Algoritmo de medición, alertas, comparativos de mermas PGP</t>
  </si>
  <si>
    <t>Habilitar la Venta de Gases en E-commerce incluyendo los procesos de alta de cliente, facturación y programación de las entregas</t>
  </si>
  <si>
    <t>Venta de Gases en línea con E-channel</t>
  </si>
  <si>
    <t>Control de incidencias y optimización del proceso</t>
  </si>
  <si>
    <t>Soft</t>
  </si>
  <si>
    <t>Su utilizaba el speach Analytics pero quedó obsoleto, se implementó servicio por parte de Atento "Insight" el cual detecta sintomas y urgencias en la llamada (revisado con Karla Rdz)</t>
  </si>
  <si>
    <t>S: Se identificó la necesidad en CSC. Analizado posibles soluciones
Actualmente no se tiene acceso a las BD de Atento, esto limita explotar la informacion
N: Definir soluciones potenciales y evaluarlas</t>
  </si>
  <si>
    <t>Finanzas /Compras / IT</t>
  </si>
  <si>
    <t>Iván Arredondo</t>
  </si>
  <si>
    <t>Marcela Hernández</t>
  </si>
  <si>
    <t>Herramienta en el CSC Medigas que detecte palabras  de situaciones críticas que alarme la situación. Generar una herramienta alterna a Berint (detección) y que escale automáticamente casos críticos en Medigas.</t>
  </si>
  <si>
    <t>Speach Analytics para CSC</t>
  </si>
  <si>
    <t>G4</t>
  </si>
  <si>
    <t>Ya se tiene un avance con IT. Agendar una sesión con Equipo de CRM para evaluar la necesisdad y si se puede aprovechar algo que ya se tenga. Ya se tienen mapeados los campos y se detuvo con IT</t>
  </si>
  <si>
    <t>Integración de los indicadores clave del cliente (Financiero + Servicio + Operativo + Comercial)  para la toma de decisiones en conjunto con la integración de oportunidades de negocio por anticiparnos a las necesidades de los clientes.</t>
  </si>
  <si>
    <t>Integración total para la Satisfacción del Cliente (Visión 360º del Cliente) Etapa 1</t>
  </si>
  <si>
    <t>1. Diseñar la hoja de proyecto, jsutificación del proyecto
2. Diseño de integraciones
3. ajuste de procesos To Be propuestos
4. Desarrollo del BC para evaluación del proyecto
5. Liderar el proyecto</t>
  </si>
  <si>
    <r>
      <t xml:space="preserve">Tiempo / control / compliance
</t>
    </r>
    <r>
      <rPr>
        <sz val="9"/>
        <color rgb="FFFF0000"/>
        <rFont val="LindeDaxGlobal"/>
      </rPr>
      <t>Reducción de TC del los procesos</t>
    </r>
    <r>
      <rPr>
        <sz val="9"/>
        <color theme="1"/>
        <rFont val="LindeDaxGlobal"/>
      </rPr>
      <t xml:space="preserve">
Tiempo promedio de firma &lt; 24 horas</t>
    </r>
  </si>
  <si>
    <t>1. Se debe concluir con la implementación de la etapa 1, además de la estapa de estabilización, para iniciar con el proceso de integraciones.
2. Concluida la documentación de procesos y procedimientos de la etapa 1, se puede iniciar con la etapa de diseño de integrciones.</t>
  </si>
  <si>
    <t>1. Reducción de los tiempos de respuesta a clientes
2. Mejorar la experiencia del cliente a través de procesos electrónicos de autogestión
3. Mejorar la experiencia del usuario interno al eliminar actividades manuales que requieren tiempo y gestión administrativa.
4. Mejorar la calidad de la información, homologación de formatos, repositorios.
5. Potencial de mejora en la gestión de los procesos a trávez del manejo de información con IA.</t>
  </si>
  <si>
    <t>Análisis y diseño de las integraciones necesarias que nos ayuden a automatizar los procesos de gestión de dotaciones y crédito para clientes, donde el flujo empiece desde CRM y concluya con la entrega  de la dotación y autorización del crédito. ( Integración e docusign con CRM, Sistema de dotaciones, CLM Sales force y sistema de crédito).</t>
  </si>
  <si>
    <t>Automatización de los procesos de gestión de crédito y dotaciones (Integración de sistemas con dcusign)</t>
  </si>
  <si>
    <t>Evaluar si se tiene un módulo de conciliación en JDE. Evaluar usar AI para este proceso</t>
  </si>
  <si>
    <t>Actualmente el cierre de bitácoras es manual. Se requiere que el proceso sea automático.</t>
  </si>
  <si>
    <t>Automatización del proceso de carga de Ventas de Mercado Pago a Bitácoras</t>
  </si>
  <si>
    <t>Análisis avanzado de los datos generados por las visitas en las páginas de e-commerce para identificar patrones que permitan ser utilizados en campañas, ventas cruzadas, estrategias dirigidas, etc.</t>
  </si>
  <si>
    <t xml:space="preserve">Analítica Avanzada de datos e-commerce </t>
  </si>
  <si>
    <t>Karla Rodriguez</t>
  </si>
  <si>
    <t>Asistentes virtuales que soporten la atención de clientes internos de linde, agentes actuales y del CIAC, automatizando respuestas e interacciones</t>
  </si>
  <si>
    <t xml:space="preserve">Agente Virtual interno de apoyo a los agentes CSC y CIAC con AI </t>
  </si>
  <si>
    <t>Tiempo
Servicio</t>
  </si>
  <si>
    <t>S: Análisis del Requerimientos. Actualmente se tiene una solución que pudiera usarse a partir de información de correos
N: Concluir el RFP con Requester y revisar solución actual. Algo adicional pudiera ser con AI. Invitar a Adolfo Olmedo</t>
  </si>
  <si>
    <t xml:space="preserve">Yasmin Barragan </t>
  </si>
  <si>
    <t xml:space="preserve">Abraham Ramos </t>
  </si>
  <si>
    <t>CANCELADO</t>
  </si>
  <si>
    <t xml:space="preserve">BOT que pueda leer mails y que detecte información sobre pedidos especiales de RTVs o VM para clientes de productos específicos (especiales) que solo se produzcan y tienen que pedir a Pta. Sto. Domingo. </t>
  </si>
  <si>
    <t>Automatización toma de pedidos y solicitud de productos especiales a Pta. Sto. Domingo.</t>
  </si>
  <si>
    <t>A10</t>
  </si>
  <si>
    <t>Para los clientes o pacientes que requieran apoyo para levantar su reclamación vía canal telefónico o cuaenndo se requiera lanzar encuestas con un agente</t>
  </si>
  <si>
    <t>Agente Virtual para Documentación de Reclamaciones y para levantar encuestas de servicio</t>
  </si>
  <si>
    <t>1. Líderar el proyecto de desarrollo recnológico con Docusign 
2. Líderar la revisión de procesos y definición de " To Be"
3. Líderar estrategía de Change Management</t>
  </si>
  <si>
    <t>Tiempo / Control / Compliance / Experiencia del cliente</t>
  </si>
  <si>
    <t xml:space="preserve">1. Segunda validación de procesos y formatos durante 2026
</t>
  </si>
  <si>
    <t>En proceso está la Fase 1 durante 2026 Gases Envasados y Crédito</t>
  </si>
  <si>
    <t xml:space="preserve">Medigas </t>
  </si>
  <si>
    <t>PGP Gases medicinales</t>
  </si>
  <si>
    <t>IT local / Digitalización/ Externo</t>
  </si>
  <si>
    <t>1. Agilidad en la gestión de documentos firmados
2. Repositorio Central unico de los expefdientes de pacientes 
3. Reducción de carga administrativa
4. Reducción e gastos en uso de papel, almacenamiento fisico y muebles para resguardo fisíco
5. Mejorar la calidad de los daros e información
6. Posibilidad de usar los datos para eficientizar los procesos de trazabilidad, seguimiento y toma de decisiones.</t>
  </si>
  <si>
    <t>Herramienta digital para migrar el proceso de firma autografa de documentos fisícos a firma digital avanzada (Valida legalmente). Alcance para entregas y soportes de cilindros, equipos especiales, concentradores, todos los activos entregados a pacientes y hospitales.</t>
  </si>
  <si>
    <t>Firma Electrónica de documentos legales (Home Care) Fase 2</t>
  </si>
  <si>
    <t>1. Definir el proyecto y sus requerimientos para identificar la solución adecuada</t>
  </si>
  <si>
    <t>1. Este proceso deberá ser capaz de asegurar el control del inventario, que la salida de ese inventario esté autorizada.
2. Permitira tener trazabilidad total de los activos en demostración por cliente, responsable, autorizador, fecha, donde está y si está en lento movimiento.
3. Visibilidad análitica y control por zona, gestión basada en datos reales y no en reportes manuales
4. Ayudará a construir una cultura de responsabilidad y cuidado de los recursos de la empresa.
5. Generar evidencia auditable</t>
  </si>
  <si>
    <t>Proceso automático y controlado para el manejo de inventario de productos a demostración.  Este proceso debe generar trazabilidad de las transacciones, visibilidad de los responsables, por zona, por cliente y un reporte de cargos y gastos por este concepto, además de asegurar el seguimiento para el retorno del cilindro o equipo en demostración.</t>
  </si>
  <si>
    <t>Herramienta de control para producto a demostración</t>
  </si>
  <si>
    <t>Tiempo</t>
  </si>
  <si>
    <t xml:space="preserve">Con el cambio de estrucutra organizacional es necesario alinear quien será el PO de esta iniciativa
</t>
  </si>
  <si>
    <t>Revisar con el negocio la estructura</t>
  </si>
  <si>
    <t>Gonzalo Algarra / Fco Mata</t>
  </si>
  <si>
    <t>Desarrollo de un sitio en SharePoint para el negocio de PGP (Gases Envasados), que integre todas las áreas que lo conforman. El sitio centralizará información relevante como procedimientos operativos, materiales de capacitación, recursos de apoyo para las áreas comercial y de operaciones, así como documentación clave para garantizar la eficiencia y el acceso rápido a contenidos críticos.</t>
  </si>
  <si>
    <t>Sitio de Sharepoint del negocio de PGP.</t>
  </si>
  <si>
    <t>S: Actualmente se registró documentación que pide la corporación. Los developers están por arrancar el desarrollo.</t>
  </si>
  <si>
    <t>Desarrollo de Negocios</t>
  </si>
  <si>
    <t>Adolfo Olmedo</t>
  </si>
  <si>
    <t>Proveedor externo Valtech</t>
  </si>
  <si>
    <t>La incorporación de Mercado Pago elimina procesos manuales y reduce la dependencia de métodos tradicionales, acelerando la cobranza y mejorando la experiencia del cliente. La automatización del flujo de pagos disminuye errores, optimiza tiempos y asegura mayor trazabilidad en las transacciones. Además, contribuye a la transformación digital, incrementa la satisfacción del cliente y favorece el cumplimiento de estándares de seguridad financiera.</t>
  </si>
  <si>
    <t>Integración de la pasarela de pago Mercado Pago en el portal de clientes, permitiendo realizar transacciones seguras y rápidas directamente desde la plataforma. Esta funcionalidad busca ofrecer una experiencia de pago digital más ágil, confiable y adaptada a las necesidades del usuario, fortaleciendo la eficiencia en la gestión comercial.</t>
  </si>
  <si>
    <t>Integración de Mercado Pago en Echannel</t>
  </si>
  <si>
    <t>Ventas</t>
  </si>
  <si>
    <t>S: La herramienta se encuentra en desarrollo, fecha de liberación: 14 oct</t>
  </si>
  <si>
    <t>Eber Montoya</t>
  </si>
  <si>
    <t>Herramienta que muestre y calcule el desempeño de la fuerza comercial en base a los clientes nuevos, prospectos, clientes perdidos así como se asigne una calificación a cada vendedor/región que permita colocarlo en un ranking.</t>
  </si>
  <si>
    <t>Desempeño Clientes nuevos/perdidos</t>
  </si>
  <si>
    <t>Lograr el análisis avanzado de datos para descucbrir patrones que permitan predecir comportamientos y aprovecharlos en estrategias de: 
1. Cross Selling. Detección
2. Pedidos Recurrentes
3. Campañas
4. Clientes potenciales de e-commerce</t>
  </si>
  <si>
    <t>Algoritmos AI Predictivos de necesidades de Ctes y mejorar la Experiencia CX</t>
  </si>
  <si>
    <t>Agentes virtuales que soporten la toma de pedidos realizada por clientes</t>
  </si>
  <si>
    <t xml:space="preserve">Agentes Virtuales AI – chat y voice Bots de atención Pedidos </t>
  </si>
  <si>
    <t>Eficiencia operativa</t>
  </si>
  <si>
    <t>1. Sesión para revisar alcance del reporte de Aldo y levantar requerimientos de negocio - 3 al 7 de Mar</t>
  </si>
  <si>
    <t>S: Actualmente Aldo desarrolló parte del tablero. Faltan datos que requieren de un desarrollo para completar el tablero. Se requiere un desarrollo para el registro de las horas hombre (no existe actualmente)
N. Reunión con líder de operaciones / negocio para definir requerimientos y alcances</t>
  </si>
  <si>
    <t>Tablero en PowerBi donde se muestren los principales KPIs de Operaciones.</t>
  </si>
  <si>
    <t>Tablero de KPI´s de Producción &gt;PGP</t>
  </si>
  <si>
    <t>Tiempo y Control</t>
  </si>
  <si>
    <t>El inventario fisico ya se está tomando. El</t>
  </si>
  <si>
    <t>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
N: En espera de modificaciones solicitadas en modulo de TA, probar, validar y liberar</t>
  </si>
  <si>
    <t>Hector Cuellar</t>
  </si>
  <si>
    <t>1. Precisión y trazabilidad del inventario, al identificar de forma única el inventario y queda registro automático, se reucen errores humanos, rasteo de qué, cuándo, dónde, y quién intervino en cada movimiento.
2. Agilidad en los procesos de conciliación
3. Control en tiempo real y visibilidad integral
4. Cumplimiento, auditoria y seguridad
5. Ahorro de tiempo y recursos para realizar los procesos de conciliación</t>
  </si>
  <si>
    <t>Poder incluir Tránsitos en los conteos mensuales para facilitar el proceso</t>
  </si>
  <si>
    <t>Track About Streams: Herramienta digital de apoyo para la conciliación de inventario físicos de Trackabout</t>
  </si>
  <si>
    <t>Agendar sesión con Diego Carpio y dar prioridad a esta iniciativa vs el resto de los proyectos</t>
  </si>
  <si>
    <t>PGP Nte/Occidente / NO</t>
  </si>
  <si>
    <t>Cynthia Ramirez</t>
  </si>
  <si>
    <t>En una Fase 1, automatizar la generación de la tabla del Análisis de Margen Variable que actualmente se elabora a mano</t>
  </si>
  <si>
    <t>Automatización de Reporte de Operaciones PGP</t>
  </si>
  <si>
    <t>Por definir</t>
  </si>
  <si>
    <t>4 horas / mes en preparación de reporte</t>
  </si>
  <si>
    <t>Time reduction</t>
  </si>
  <si>
    <t>$120,000 USD al año (aumento de facturación por seguimiento puntual a proyectos)</t>
  </si>
  <si>
    <t>Visor terminado y validado con Adán Alarcón y él a su vez con Jessica Zanella.</t>
  </si>
  <si>
    <t>Adán Alarcón</t>
  </si>
  <si>
    <t>Jessica Zanella</t>
  </si>
  <si>
    <t>NO</t>
  </si>
  <si>
    <t>La solución reemplaza reportes manuales  por una herramienta dinámica que permite análisis en tiempo real. Esto se traduce en ahorro de tiempo en la generación de informes, reducción de errores, mejora en la toma de decisiones estratégicas y mayor control sobre el comportamiento de ventas.</t>
  </si>
  <si>
    <t xml:space="preserve">Desarrollo de un dashboard para visualizar la facturación de instalaciones en el negocio PGP, abarcando los segmentos de Envasados, Especiales y Medicinales. El tablero incluirá indicadores clave como facturación acumulada del año (YTD) y comparativos interanuales (YOY), ofreciendo una visión clara y consolidada del desempeño financiero.
</t>
  </si>
  <si>
    <t>Visor de seguimiento a facturación de Instalaciones del negocio de PGP (Envasados, Especiales y Medicinales)</t>
  </si>
  <si>
    <t>Falta calcular beneficios duros, falta dar de alta con Tania Mercado para validar cómo hacer el cálculo de beneficios.</t>
  </si>
  <si>
    <t>S:fFalta  la parte del blindaje en el CRM que es donde debe tomar la información, se está trabajando con Ana Treviño. Se espera terminar el proyecto a fin de octubre o más tardar primera quincena de noviembre.
 .</t>
  </si>
  <si>
    <t>Nancy Arellano</t>
  </si>
  <si>
    <t>Ninfaedith Fernández</t>
  </si>
  <si>
    <t>Cristina López</t>
  </si>
  <si>
    <t>T. Digital</t>
  </si>
  <si>
    <t>En riesgo ente &gt;1&lt;2 meses</t>
  </si>
  <si>
    <t>Esta solución sustituye procesos manuales y consultas dispersas por un sistema centralizado y automatizado, reduciendo errores y acelerando la identificación de brechas contractuales. Al ofrecer información clara y en tiempo real, se mejora la toma de decisiones, se optimiza la gestión comercial y se fortalece la relación con los clientes mediante el aseguramiento del blindaje.</t>
  </si>
  <si>
    <t xml:space="preserve">Implementación de un dashboard que replica la funcionalidad del visor 360 líquidos en la sección de Contratos, orientado a medir el nivel de contratación y blindaje de los clientes de PGP Cilindros. La herramienta proporciona visibilidad detallada sobre qué clientes cuentan con contrato y cuáles no, permitiendo a la fuerza de ventas gestionar de manera proactiva los contratos faltantes. El tablero muestra, a nivel cliente, el estado contractual y el cumplimiento de los parámetros de blindaje establecidos.
</t>
  </si>
  <si>
    <t>Réplica del visor 360 (Contratos)</t>
  </si>
  <si>
    <t xml:space="preserve">Por estimar
</t>
  </si>
  <si>
    <t>Tiempo / Compliance</t>
  </si>
  <si>
    <t>S: Se encuentra en desarrollo con un proveedor. Se identificó un potencial Stopper técnico el cual se está evaluando con los equipos técnicos.
N: Una opción sería el desarrollo de una API o usar en la nube al App para interconectarse entre nubes. EL tema es como conectar CRM a la nube</t>
  </si>
  <si>
    <t>Luis Banda</t>
  </si>
  <si>
    <t>T. Digital, Digitalización</t>
  </si>
  <si>
    <t>La solución sustituye el flujo manual actual, que ha ocasionado incumplimientos en los tiempos de respuesta, por un proceso completamente automatizado que garantiza la atención de cada solicitud en menos de 30 minutos, conforme a los estándares contractuales. Esta innovación reduce errores, optimiza la eficiencia operativa y mejora la experiencia del cliente institucional. Además, incrementa la trazabilidad, asegura el cumplimiento normativo y libera recursos para tareas de mayor valor, impulsando la transformación digital del servicio.</t>
  </si>
  <si>
    <t>Automatización del proceso de alta de pacientes y generación del servicio inicial a partir de solicitudes enviadas por correo electrónico. Las solicitudes, que incluyen documentos en formato PDF, serán procesadas mediante la herramienta Argus, basada en inteligencia artificial, para extraer y convertir la información en datos estructurados. Posteriormente, estos datos se integrarán en el CRM y en JDE para crear el registro del paciente y la orden correspondiente, completando el ciclo con la confirmación automática enviada a la institución.</t>
  </si>
  <si>
    <t>Automatización para la gestión de altas de Pacientes del ISSSTE - Homecare</t>
  </si>
  <si>
    <t>AM03473</t>
  </si>
  <si>
    <t>Pudiera usarse Power automate para el envío de los correos, evaluar el uso de una licencia</t>
  </si>
  <si>
    <t>Actualmente ya sale una notificación del buzón de reclamaciones pero basado en un archivo de Excel. En el SMC se alimenta manualmente la inforamción de cierre, la respuesta del cliente, la encuesta de satisfacción, todo por correo manual.</t>
  </si>
  <si>
    <t>Envío de resolución de reclamaciones a clientes y pacientes vía correo electrónico (Linde) o WhatsApp (Medigas) con cierre automático en el sistema de reclamaciones. Fase 1 Mx, Fase 2 PHN</t>
  </si>
  <si>
    <t>Automatización de Cierre de Reclamaciones</t>
  </si>
  <si>
    <t xml:space="preserve">Contar con un vendedor virtual con funciones acotadas para clientes comerciales, que ofrezca productos y logre contactar volumenes altos de clientes con campañas específicas. Inicialmente con enfoque en ventas cruzadas
</t>
  </si>
  <si>
    <t>Agente Vendedor Virtual PGP</t>
  </si>
  <si>
    <t>S: Definición de requerimientos</t>
  </si>
  <si>
    <t>Reporte que permita visualizar las órdenes de sistema donde no se han enviado los cilindros vacíos a planta</t>
  </si>
  <si>
    <t>Visor Seguimiento de cilindros vacios pendientes de enviar a planta</t>
  </si>
  <si>
    <t>Control y cumplimiento para la continuidad del negocio</t>
  </si>
  <si>
    <t>Este proyecto es posible se cancele dado que quedó incluido en el proyecto solciitado por el Ing. Galván.</t>
  </si>
  <si>
    <t>S: Se identificó la oportunidad
N: Sesión con el negocio para definir requerimientos</t>
  </si>
  <si>
    <t xml:space="preserve">La solución provee de una plataforma digital que centraliza la información, reduce errores y agiliza la gestión de hallazgos. Al automatizar el seguimiento, se mejora la eficiencia operativa, se asegura el cumplimiento normativo y se disminuye el riesgo de sanciones. </t>
  </si>
  <si>
    <t>Desarrollo de una aplicación para dar seguimiento a las buenas prácticas de almacenamiento y distribución de productos medicinales en sucursales. La herramienta permitirá registrar visitas y hallazgos realizados por los responsables sanitarios, asegurando el cumplimiento de los puntos establecidos en el checklist requerido por COFEPRIS. El sistema garantizará trazabilidad y control sobre las acciones correctivas derivadas de las inspecciones.</t>
  </si>
  <si>
    <t>App para seguimiento de buenas prácticas de almacenamiento y distribución de productos medicinales en sucursales.</t>
  </si>
  <si>
    <t xml:space="preserve">En siguiente sesión de validación con PYC se definirá alcance de este proyecto para tocar luego base con Edgar Madrigal. Revisar con Ninfaedith
Pudiera haber una sustitución de esta funcionalidad por el CLM con Sales Force, proyecto con Legal. Evaluar
</t>
  </si>
  <si>
    <t>S: Por iniciar.
N: Se programará sesión con NinfaEdith Fdz, Edgar Madrigal y Gerardo Moya.</t>
  </si>
  <si>
    <t>NinfaEdith Fernández</t>
  </si>
  <si>
    <t>La automatización del flujo elimina la carga manual y reduce errores en la actualización de contratos, mejorando la eficiencia operativa y la calidad de los datos. Esta integración agiliza la toma de decisiones, fortalece el control sobre la relación contractual con los clientes, además, optimiza recursosy  ahorra tiempo.</t>
  </si>
  <si>
    <t>Integración de la información organizada de contratos, procesada mediante la herramienta Argus, al  CRM. Esta solución permitirá que los datos extraídos y estructurados por Argus se incorporen automáticamente en el CRM, asegurando la trazabilidad y disponibilidad de información contractual para su consulta y gestión comercial.</t>
  </si>
  <si>
    <t xml:space="preserve">Integración Argus al CRM </t>
  </si>
  <si>
    <t>Q2</t>
  </si>
  <si>
    <t>18 / nov /25 : Lista de información que se quiere visualizar y programar sesión con Aldo y Marina para validar la existencia de los datos y la fuente.</t>
  </si>
  <si>
    <t>Lista de la información que necesitamos visualizar, compararla con lo que ya se tiene de Retail para identificar que se puede replicar y que no.</t>
  </si>
  <si>
    <t xml:space="preserve">Si </t>
  </si>
  <si>
    <t xml:space="preserve">Comercial </t>
  </si>
  <si>
    <t xml:space="preserve">Jóse Ramón </t>
  </si>
  <si>
    <t>Edgar Borquez</t>
  </si>
  <si>
    <t>Objetivo : Mejorar el control y desempeño de las LUMs y asegurar que honramos lo comprometido en contrato.  Dejar de manejarlos como distribuidor y más cómo una tienda LINDE.
- Visor que consolide los principales indicadores de desempeño de las LUMS (Comparativa de ventas en volumen y valor, Mg de rentabilidad de las LUMS, comportamiento de precios, Cobros como rentas, servicios, regalias etc, % anual de Beneficios (% de bonificación sobre facturación anual, control de fechas relevantes y de compromisos adquiridos, capacitaciones que se deben renovar o se requieren, añejamiento de sus cilindros y nivel de servicio de planta a LUM).
-Gestionar las clausulas del contrato
- Mejorar el modelo de negocio de las LUMs
- Definir cuál es la herramienta adecuada para visualizar la información relevante de las LUMS</t>
  </si>
  <si>
    <t>Visor para monitorear el desempeño y cumplimiento de acuerdos comerciales con las LUMS</t>
  </si>
  <si>
    <t>La implementación del canal elimina la dispersión de consultas y reduce la dependencia de atención individual, agilizando la resolución de problemas y mejorando la experiencia del usuario. Al centralizar la comunicación, se incrementa la eficiencia, se disminuyen tiempos de respuesta y se asegura la consistencia en la información compartida. Además, esta solución promueve la adopción tecnológica, fortalece la transparencia y contribuye a la optimización de recursos en soporte.</t>
  </si>
  <si>
    <t>Creación de un canal digital de soporte en Microsoft Teams para atender dudas y resolver incidencias relacionadas con el proyecto de Firma Electrónica PGP. Este espacio permitirá a los usuarios plantear consultas sobre fallas, aspectos técnicos y uso de la solución, asegurando que todas las respuestas sean visibles para la comunidad, fomentando la colaboración y el aprendizaje compartido.</t>
  </si>
  <si>
    <t>Teams Support Channel for Digital Signature project deployment</t>
  </si>
  <si>
    <t>Obtener la información del personal por parte de RH.</t>
  </si>
  <si>
    <t>S: BD terminada y APP
N: Publicación y Capacitación de personal de Operaciones para alimentar información</t>
  </si>
  <si>
    <t>Diego Carpio</t>
  </si>
  <si>
    <t>Jesús Guzmán</t>
  </si>
  <si>
    <t>Braulio Martínez</t>
  </si>
  <si>
    <t>La herramienta reemplaza el resguardo en varios one drives de las Constancias Psicofísicas de conductores por un sistema  central que optimiza la administración de licencias. Esto se traduce en reducción de errores, ahorro de tiempo en la validación de vigencias, mejora en la toma de decisiones mediante alertas oportunas y fortalecimiento del cumplimiento de requerimientos de la SCT. Además, incrementa la eficiencia operativa y minimiza riesgos legales y de seguridad, aportando mayor confiabilidad al proceso.</t>
  </si>
  <si>
    <t>Aplicación digital para la gestión centralizada de las Constancias Psicofísicas de conductores PGP a nivel nacional, que permite registrar, actualizar y monitorear la vigencia de cada licencia en tiempo real. La solución asegura control y trazabilidad, evitando riesgos asociados a documentación vencida y garantizando el cumplimiento de requisitos operativos y normativos.</t>
  </si>
  <si>
    <t>APP y Base de datos para alimentación de Constancia de Aptitud Psicofísica de conductores PGP</t>
  </si>
  <si>
    <t>Terminado el desarrollo, solo falta validar acceso con ID y alimentar BD con datos de RH proporcionados por Laura Ocampo.</t>
  </si>
  <si>
    <t>La herramienta reemplaza el resguardo disperso de las licencias de conductores por un sistema  central que optimiza la administración de licencias. Esto se traduce en reducción de errores, ahorro de tiempo en la validación de vigencias, mejora en la toma de decisiones mediante alertas oportunas y fortalecimiento del cumplimiento de requerimientos de la SCT. Además, incrementa la eficiencia operativa y minimiza riesgos legales y de seguridad, aportando mayor confiabilidad al proceso.</t>
  </si>
  <si>
    <t>Aplicación digital para la gestión centralizada de licencias de conductores PGP a nivel nacional, que permite registrar, actualizar y monitorear la vigencia de cada licencia en tiempo real. La solución asegura control y trazabilidad, evitando riesgos asociados a documentación vencida y garantizando el cumplimiento de requisitos operativos y normativos.</t>
  </si>
  <si>
    <t>APP y base de datos para alimentación de licencias de conductores PGP .</t>
  </si>
  <si>
    <t>AM03222</t>
  </si>
  <si>
    <t>S: APP y visor finalizado. Como segunda etapa es pedir el apoyo de los dueños de los negocios para terminar de alimentar datos faltantes de localidades.</t>
  </si>
  <si>
    <t>Legal</t>
  </si>
  <si>
    <t>El directorio sustituye directorios incompletos y localizados con diferentes persona  por una plataforma única y editable.</t>
  </si>
  <si>
    <t>Creación de un directorio digital que centraliza la información de todas las localidades e inmuebles de Linde México, accesible mediante un visor interactivo. La solución permitirá que los owners de cada localidad actualicen los datos directamente a través de una aplicación, eliminando la situación actual donde la información se encuentra fragmentada entre diferentes responsables.</t>
  </si>
  <si>
    <t>Directorio de Localidades Linde en México</t>
  </si>
  <si>
    <t xml:space="preserve">Customer Service
</t>
  </si>
  <si>
    <t xml:space="preserve">S: Se desarrollan cambios y se publican dentro del Panel de Rutas PDE´s </t>
  </si>
  <si>
    <t>Trans Digital</t>
  </si>
  <si>
    <t>Actualización de dashboard de Seguimiento Pedidos Medigas agregando información de %Cumplimiento de Servicio, %de los diferentes estatus de pedidos, agrupación e identificación de las causas de pedidos reprogramados, identificación de pedidos SAOS y Oxígeno domiciliario</t>
  </si>
  <si>
    <t>%Servicio Cumplimiento Servicio Pedidos Medigas</t>
  </si>
  <si>
    <t>Ventas (por estimar)</t>
  </si>
  <si>
    <t>S: Se tienes ya  la APP de maduración, pero se que requiere ser agregadas el resto de PSOs. Como una siguiente etapa, se verá con Edgar Madrigal y Cindy Lozano si en CRM se puede poner la información para evitar tener una herramienta que pueda estar en CRM integrada.</t>
  </si>
  <si>
    <t>Nineth Gallegos</t>
  </si>
  <si>
    <t>Contar con una herramienta que sea un puente entre los vendedores y la experta en PSOs de alimentos para asegurar su apoyo en la prospección y cierre de negocios con nuevos clientes del segmento de Alimentos.</t>
  </si>
  <si>
    <t>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t>
  </si>
  <si>
    <t>Desarrollo de App para alta de prospectos de PSOs MAPAX de  Atmósfera controlada para Alimentos.</t>
  </si>
  <si>
    <t>Por estimar ($20,000)</t>
  </si>
  <si>
    <t>Se libera dashboard, en creación bot qye cerrara en automático las ordenes en estatus 580-620</t>
  </si>
  <si>
    <t>Identificar en tiempo ordenes de venta que no avanzan, evitar que facturas de crédito queden sin cobro.</t>
  </si>
  <si>
    <t>Dashboard que contiene la información de todas las ordenes de venta del negocio PGP retenidas con algún código de retención, sin código de retención pero que no avanzaron y las pendientes de verificar por TA.</t>
  </si>
  <si>
    <t>Órdenes retenidas todos los Status Etapa 2</t>
  </si>
  <si>
    <t>Servicio / Compliance</t>
  </si>
  <si>
    <t>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t>
  </si>
  <si>
    <t>S: Se da de alta card 34872, las pruebas resultaron correctas.
N: Se pedirá pasar el desarrollo a producción</t>
  </si>
  <si>
    <t>Sergio Israel Rdgz</t>
  </si>
  <si>
    <t>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t>
  </si>
  <si>
    <t>JDE Update of timing rules for patients orders to be planned with Disribution</t>
  </si>
  <si>
    <t>Análisis</t>
  </si>
  <si>
    <t>1. Sesión de seguimiento con Gerardo y Erika para armar plan de trabajo y prioridad para la migración de los reportes semana 24 al 28 de feb
2. Agosto 2025 : Se hará una sesión de alineación para validar requerimientos sobre una nueva aplicación y necesidad.  Dependiendo de esta sesión se decidí si iniciar con la migración de tableau a power BI, se coloca en HOLD hasta nuevo aviso.</t>
  </si>
  <si>
    <t>S: Ya se tiene una versión actual, los cambios están en están en desarrollo, se ha dado prioridad a Homecare
N: Terminar desarrollos, validar información y desplegar.</t>
  </si>
  <si>
    <t xml:space="preserve">Migración de reportes actuales de Tableau a power BI
</t>
  </si>
  <si>
    <t>Cambio de reporte rotación de inventarios de tableau a Power BI</t>
  </si>
  <si>
    <t>S: Se firma NDA  y contato. Se implementa nuevo desarrollo en sistema Bitácoras y Tesorería. Se inicia en Agosto piloto con 6 sucursales.
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t>
  </si>
  <si>
    <t>PGP NAL.</t>
  </si>
  <si>
    <t>Velia Niño, Marina Dávila</t>
  </si>
  <si>
    <t>Deyanira Blanco</t>
  </si>
  <si>
    <t>Oscar Flores/Marco Pacheco</t>
  </si>
  <si>
    <t>Implementación Mercado Pago para ventas de contado, adecuación al Sistema de Bitácoras y Tesorería para el cierre de bitácoras.</t>
  </si>
  <si>
    <t>Cashless payment process at Stores with Mercadopago</t>
  </si>
  <si>
    <t>Reducción de Tiempos</t>
  </si>
  <si>
    <t>Proyecto que queda como segunda parte después del llenado por parte del personal de PGP de licencias y constancias psicofísicas.</t>
  </si>
  <si>
    <t>S: Se identifica la necesidad de automatizar llenado de datos con un BOT, revisado con Eduardo Galvan
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t>
  </si>
  <si>
    <t>David Silva</t>
  </si>
  <si>
    <t>La automatización del proceso reduce significativamente el tiempo dedicado a la captura manual, minimiza errores y garantiza la integridad de la información crítica para la operación. Además, mejora la trazabilidad y el cumplimiento normativo en materia de seguridad y transporte, optimizando la gestión de recursos humanos y fortaleciendo la toma de decisiones. Esta innovación contribuye a la eficiencia operativa y a la transformación digital del área.</t>
  </si>
  <si>
    <t xml:space="preserve">Desarrollo de un bot que automatice la carga de información sobre licencias y constancias psicofísicas en la base de datos previamente creada, aplicable a conductores comerciales y no comerciales de Linde México. Esta solución integra los datos de manera precisa y rápida, eliminando la necesidad de registros manuales y asegurando la actualización continua del sistema.
</t>
  </si>
  <si>
    <t xml:space="preserve">BOT para actualización de datos de empleados en la BD de Licencias y Constancia Psicofísica de Conductores PGP.
</t>
  </si>
  <si>
    <t>Agendar sesión de revisión inicial con Líderes y ejecutores, 7 de Mayo 25</t>
  </si>
  <si>
    <t>S: Se identifican oportunidades en el proceso actual de compensación de Dist. de PGP en el registro de información. Se requiere reducir la interaccion manual de datos en el proceso
N: Revisión del proceso con líderes de Distribución, staff Distribución y business Analyst, semana 5 de May. para identificar oportunidades de sistema o proceso</t>
  </si>
  <si>
    <t>En riesgo o vencido &gt; 2 meses</t>
  </si>
  <si>
    <t xml:space="preserve">Revisión del Modelo actual de compensación Variable de PGP que permita mejorar el proceso, identificando oportunidades de control y automatización
</t>
  </si>
  <si>
    <t>Modelo de compensación Variable Distribución PGP</t>
  </si>
  <si>
    <t xml:space="preserve">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
</t>
  </si>
  <si>
    <t>Gustavo Primo / Fiorella de Medina</t>
  </si>
  <si>
    <t>Marta Gaspar</t>
  </si>
  <si>
    <t>PROYECTO ANTERIOR</t>
  </si>
  <si>
    <t>Este visor sustituye procesos manuales y reportes fragmentados por una solución automatizada que asegura visibilidad de la información de facturación día paciente al ISSSTE. La centralización de datos reduce errores, agiliza la conciliación entre facturación y prestación del servicio, y mejora la toma de decisiones estratégicas. Además, , optimiza recursos y fortalece la eficiencia operativa, generando ahorro de tiempo y mayor control sobre la rentabilidad.</t>
  </si>
  <si>
    <t>Desarrollo de un visor que consolide y presente datos de facturación del servicio Homecare, calculados bajo el esquema de precio por día-paciente, específicamente para pacientes del ISSSTE. La herramienta ofrecerá información detallada y actualizada, permitiendo comparar lo facturado frente a los servicios efectivamente entregados, con el objetivo de garantizar precisión y transparencia en la gestión financiera.</t>
  </si>
  <si>
    <t>Reporte (visor) de Facturación Día Paciente - Homecare</t>
  </si>
  <si>
    <t xml:space="preserve">1. Se requiere conseguir los documentos Digitales para darlos de alta junto con los Fotamos Básicos DGD Packing list y documentos comerciales
2. Se agenda sesión de seguimiento con Karla García para semana 20 de Marzo
3. Agosto 2025 / El proyecto se divide en dos partes : 1. Desarrollo de aplicactivo para la administración de los productos (IT), 2. Desarrollo de un visor para visibilidad de la información para el área comercial. </t>
  </si>
  <si>
    <t>S: En análisis requirimientos de info para importaciones y se correrá en paralelo con Proyecto de Exportaciones</t>
  </si>
  <si>
    <t>Gerardo Moya</t>
  </si>
  <si>
    <t>Karla Beatriz García</t>
  </si>
  <si>
    <t>Global AI</t>
  </si>
  <si>
    <t>Hoy no se tiene la información disponible y se cometen muchos errores a la hora de ofrecer y comprometer estos productos a los clientes</t>
  </si>
  <si>
    <t>1. Facilitar y agilizar el proceso de búsqueda de información relevante de Importaciones  a través de NITRO
2. Uso de Inteligencia Artificial para consulta de información confiable y aseguramiento de requisitos en el proceso de importacion de Gases Especiales</t>
  </si>
  <si>
    <t>Uso de una herramienta para consulta de información clave del proceso para importar y comercializar Gases Especiales.</t>
  </si>
  <si>
    <t>Junta con Salvador González y David Silva semana del 24 de Feb</t>
  </si>
  <si>
    <t>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
N: En espera de la respuesta de las autoridades y seguir con pruebas con IT en los portales de Jalisco y Edo de Mexico. No hay portales estándar a nivel nacional. Se define acotarlo sólo al Estado de NL como primera etapa</t>
  </si>
  <si>
    <t>Salvador García</t>
  </si>
  <si>
    <t>Desarrollo de un BOT que realice la búsqueda en diferentes páginas federales y estatales, para detectar multas en vehículos de PGP</t>
  </si>
  <si>
    <t>Automatización de búsqueda de multas de Distribución RPA</t>
  </si>
  <si>
    <t>Identificar clientes con comportamientos de consumo atipicos
Predicción de resultados quincenales, mesnsuales, con cualquier corte (volumen y valor)</t>
  </si>
  <si>
    <t>Reducción de Tiempos en Gtes</t>
  </si>
  <si>
    <t>Asegurarse que se identifican filtros específicos para el negocio de Especiales y se incluyen.</t>
  </si>
  <si>
    <t>S: El desarrollo ya se terminó, esta pendiente accesos para que un vendedor vea solo sus clientes, tutoriales.
N: Se realizarán pruebas por parte del negocio.</t>
  </si>
  <si>
    <t>PGP Norte</t>
  </si>
  <si>
    <t>José Lainez</t>
  </si>
  <si>
    <t>Digital EEUU</t>
  </si>
  <si>
    <t xml:space="preserve">Herramienta para automatizar el proceso de creación de forecast mensual para PGP basado en modelo de la Región Noroeste.
</t>
  </si>
  <si>
    <t>Sales Forecast Tool</t>
  </si>
  <si>
    <t>Tiempo - Disminución de horas en elaboración de reportes área de Ventas</t>
  </si>
  <si>
    <t>Ya se está desarrollando un proyeto con Eber Montoya y el equipo de PGP que integrará este proyecto</t>
  </si>
  <si>
    <t>S: Se definieron requerimientos y se habilitaron en CRM. Tareas para vendedores para registrar compromisos de recolección de cilindros, cobros de rentas. 
N: Retomar proyecto con Negocio, Diseñar reporte. Hacer plan de trabajo. Junta con Negocio para definir requerimientos</t>
  </si>
  <si>
    <t>César Paz</t>
  </si>
  <si>
    <t>Ruben González</t>
  </si>
  <si>
    <t xml:space="preserve">Reporte integral del área de ventas, que incluye los compromisos de diversos indicadores
</t>
  </si>
  <si>
    <t>Reporte One Page de ventas</t>
  </si>
  <si>
    <t>E7</t>
  </si>
  <si>
    <t>Proceso Manual</t>
  </si>
  <si>
    <t xml:space="preserve">Sistema que permita identificar desviaciones de acuerdo a la política de gastos. Análisis. Cuentas Correctas. Cargos no deducibles correctos. Algoritmo
</t>
  </si>
  <si>
    <t>Control de Costos Tarjeta Corporativa</t>
  </si>
  <si>
    <t xml:space="preserve">1. Validar por qué se detuvo el análisis y continuidad del proyecto </t>
  </si>
  <si>
    <t xml:space="preserve">Control de activos </t>
  </si>
  <si>
    <t>Dependencia de corrección de datos de Trackabput. Duplicado de numeros de serie. Se evaluará a finales de 2025</t>
  </si>
  <si>
    <t>S: Se desarrollo reporte de cilindros potenciales de cobro de Mtto.
N: Revisar / confirmar causas que se alimentan desde Trackabout. Limpieza de datos de Cilindros/activos en TA Vs JDE. Falta definición de negocio (proceso) para identificar automatización de cargos y/o excepciones. No está estandarizado el monto para cobro</t>
  </si>
  <si>
    <t xml:space="preserve">Nacional </t>
  </si>
  <si>
    <t>1. Proceso automático para la identificación de cilindros dañados atribuibles a clientes
2. Este proceso agiliza la identificación y el proceso de facturación para la recuperación de los costos por cilindros dañados.
3. Este proceso automático reduce el costo de oportunidad de no cobro por el concepto de daño o Mtto y reduce el margen de error.</t>
  </si>
  <si>
    <t xml:space="preserve">Proceso para identificar de forma automática cilindros dañados por los clientes para su baja o mantenimiento, además de detonar el proceso de generación de órdenes de facturación al cliente en un flujo completamente automatizado. </t>
  </si>
  <si>
    <t>TA Value Streams: Automated generation of billing orders for damaged cylinders</t>
  </si>
  <si>
    <t>G1</t>
  </si>
  <si>
    <t xml:space="preserve">1. Definir requerimientos funcionales
2. Soporte en la operación </t>
  </si>
  <si>
    <t>Eficiencia operativa en reducción de horas (XX) Vlaidar
Quality pf data analysis</t>
  </si>
  <si>
    <t>1. Programar sesión para definir el proyecto, alcance y equipo 24 - 28 Feb</t>
  </si>
  <si>
    <t>S: Se identificó oportunidad con usuario y se requiere definiciones de alcances y líderes para el proyecto.
N: Sesión con Process Owner para tomar definiciones de negocio
Oct 2025 : Revisar con el quipo Edgar, la iniciativa de registrar PSO en CRM
Nov : Iniciar desarrollo de dashboar en colaboración con Aldo Maldonado y Oscar Flores</t>
  </si>
  <si>
    <t xml:space="preserve">PGP Gases Especiales </t>
  </si>
  <si>
    <t>1. Paso de la subjetividad a la objetividad, se definen criterios claros, medibles y consistentes
2. Eficiencia operativa y ahorro de tiempo en la elaboración del reporte por parte de los vendedores 
3. El modelo automatizado permite detectar patrones de desempaño exitosos y fallidos, identificar riesgos y detactar oportunidades
4. Mayor confiabilidad de la información.</t>
  </si>
  <si>
    <t xml:space="preserve">Automatizar el reporte de crecimiento de PSO´s que es manual y se hace con base al conocimiento de los vendedores. </t>
  </si>
  <si>
    <t xml:space="preserve">Reporte de crecimiento de PSOs para gases especiales. </t>
  </si>
  <si>
    <t xml:space="preserve">Control </t>
  </si>
  <si>
    <t>Este proyecto tiene dependencia del proyecto donde se integra cierre de bitácora de ventas contado de Mercado Pago. Se podrían ir describiendo requerimientos de negocios con supuestos de funcionalidad con Mercado Pago</t>
  </si>
  <si>
    <t>S: Actualmente se realiza proceso manual para identificar los pagos de los clientes en sistema de Tesorería y posteriormente se relaciona ese pago en el sistema de bitácoras para la conciliación de la venta de contado.
N: Detallar requerimiento con negocio</t>
  </si>
  <si>
    <t>Nacional</t>
  </si>
  <si>
    <t>Carlos Arturo Rodríguez
/ Armando Ramos</t>
  </si>
  <si>
    <t>IT local</t>
  </si>
  <si>
    <t xml:space="preserve">Conciliación automática de depósitos/transferencias del banco y pagos con tarjeta con las ventas de contado en el sistema de bitácoras
</t>
  </si>
  <si>
    <t>Cierre automático de bitácoras para Ventas de contado</t>
  </si>
  <si>
    <t>G5</t>
  </si>
  <si>
    <t xml:space="preserve">S: Se desarrolla y se libera dashboard de Ordenes Canceladas Medigas así como la actualización del dashboard Estatus Pedidos Medigas dentro del Panel de rutas
</t>
  </si>
  <si>
    <t xml:space="preserve">Dashboard que muestre las ordenes del negocio de Medigas que han sido canceladas por el operador con sus motivos para su análisis.
Actualización de dashboard estatus de pedidos Medigas
</t>
  </si>
  <si>
    <t>Ordenes Medigas Canceladas</t>
  </si>
  <si>
    <t>1. Asegurar que el uso de la herramienta se alinee con el proceso comercial, definir un proceso To be si es necesario.
2. Validar que el proceso " To be " se esté ejecutando.
3. Definir cómo ceder al proceso la herramienta y apoyar en qué foro y cómo lo vamos a usar.
4. Medir el nivel adopción</t>
  </si>
  <si>
    <t>Agostos 2025</t>
  </si>
  <si>
    <t>Se inició y concluyó el mismo mes de Junio.  Esta pendiente consolidar la implementación y el proceso de seguimiento para alcanzar los beneficios esperados</t>
  </si>
  <si>
    <t>1. Visibilidad integral del desempeño comercial
2. Agilidad para la toma de decisiones
3. Facilita la identificción de oportunidades y riesgos para enfocar los esfuerzos comerciales
4. Alineación y centralización de la información</t>
  </si>
  <si>
    <t>Dashboard de power BI : Consolidar un esquema de gestión de clientes con reglas de segmentación y seguimiento basadas en la medición de ventas nuevas traducidas en :  # de clientes , volumen y valor</t>
  </si>
  <si>
    <t xml:space="preserve">Gestión de clientes nuevos </t>
  </si>
  <si>
    <t>AM03525</t>
  </si>
  <si>
    <t>Compliance - Soft: Working Capital</t>
  </si>
  <si>
    <t>Concluido</t>
  </si>
  <si>
    <t>S: Sesión jueves 10 julio para validación de datos y liberación del visor</t>
  </si>
  <si>
    <t>Visor en Power BI para visualizar desviaciones de efectivo</t>
  </si>
  <si>
    <t>Identificación proactiva de créditos informales</t>
  </si>
  <si>
    <t>Se desarrolló un template de seguimiento  en office 365 lists, con la base de datos de proyectos de construcción y remodelación. Con los status de avance y pendientes</t>
  </si>
  <si>
    <t>Octavio Rendón</t>
  </si>
  <si>
    <t>La digitalización del control de actividades de construcción, sustituye procesos manuales y dispersos, reduciendo errores y tiempos de coordinación. Además, optimiza la gestión de recursos, asegura el cumplimiento de plazos y fortalece la eficiencia operativa en proyectos de infraestructura.</t>
  </si>
  <si>
    <t>Creación de una base de datos centralizada para gestionar y dar seguimiento a las actividades relacionadas con proyectos de construcción, remodelación y adecuaciones en las localidades de Linde. La herramienta permitirá registrar tareas, asignar responsables, controlar avances y garantizar trazabilidad en cada etapa del proyecto.</t>
  </si>
  <si>
    <t>Base de datos digital para administración de proyectos de construcción, remodelación o reubicaciones</t>
  </si>
  <si>
    <t>AM03526</t>
  </si>
  <si>
    <t>1. Monitorear la implementación</t>
  </si>
  <si>
    <t>Compliance / Control
% de cumplimiento 100%</t>
  </si>
  <si>
    <t xml:space="preserve">Concluido </t>
  </si>
  <si>
    <t>Se desarrolló un nuevo reporte sobre la base del anterior, que no solo muestra el estatus de los permisos si no que también permite dar un seguimiento diario del los permisos en riesgo de vencimiento en el corto plazo.</t>
  </si>
  <si>
    <t>1. Optimización del proceso
2. Mejora en control administrativo
3. Reducción de errores manuales</t>
  </si>
  <si>
    <t>Mejoras al reporte des eguimiento a permisos, la mejora del reporte incluye al responsable administrativo y una visión de corto plazo de lo que está en riesgo de vencimiento.</t>
  </si>
  <si>
    <t>Actualización a la herramienta digital de seguimiento a Permisos en tiendas</t>
  </si>
  <si>
    <t>AM03519</t>
  </si>
  <si>
    <t>1. Dar seguimiento en el uso de la herramienta, monitorear el desempeño y ajustar el proceso si se hace necesario</t>
  </si>
  <si>
    <t>Control administrativo
% de atención de reclamaciones &gt;90%</t>
  </si>
  <si>
    <t>Monitorear el % de adopción y su inclusión dentro del proceso.</t>
  </si>
  <si>
    <t>El proyecto está cerrado, y hace parte de una herramienta de gestión diaria de KPI´s criticos que requieren supervisión.</t>
  </si>
  <si>
    <t>1. Reducción de reclamaciones vencidas
2. Mejora en experiencia del cliente
3. Control de recurrencia
4.  Visibilidad para gestión proactiva</t>
  </si>
  <si>
    <t>Herramienta de control  y seguimiento diario, customizada para Supervisores Administrativos para monitorear el cierre de reclamaciones.  La herramienta da visibilidad de responsables administrativos, zonas, detalle de clientes y vendedores, estatus, vencimiento y recurrencia etc. Estatus, reclamaciones por vencer y el detalle de información y todo lo documentado en el SMC</t>
  </si>
  <si>
    <t>Heramienta Digital para el análisis y seguimiento diario reclamaciones</t>
  </si>
  <si>
    <t>AM03520</t>
  </si>
  <si>
    <t>Control administrativo 
% de uso &gt; al 98%</t>
  </si>
  <si>
    <t xml:space="preserve">Se mejoró el reporte original de uso de HH, asignando responsables administrativos, detalle de lo que debe trabajar, por Región y localidad </t>
  </si>
  <si>
    <t xml:space="preserve">1. Da visibilidad operativa diaria
2. Se basa en un metodo sencillo de evaluación que permite identificar con rapidez en donde hay oportunidad para ir a revisar y corregir el comportamiento.
3. Mayor control operativo por zona
4. Visibilidad integral  para mejorar la toma de decisiones </t>
  </si>
  <si>
    <t>Se hace una customización como herramienta de control diario para supervisores administrativos que les permita monitorear diariamente el uso de la HH por localidad a través de una calificación, para que esto facilite su rol de supervisión de las localidades y responsables bajo su responsabilidad.</t>
  </si>
  <si>
    <t>Herramienta Digital para el análisis y seguimiento del uso de Hand Held en Distrubución</t>
  </si>
  <si>
    <t>AM03517</t>
  </si>
  <si>
    <t>S: Se libera información en dashboard de scorecard daily.
N: Crear roles específicos para acceso a la información a usuarios de las areas: Soporte Integra, Operaciones, Facturación, Crédito y Cobranza.</t>
  </si>
  <si>
    <t>Herramienta que Identifique ventas retenidas en estatus 580 - 620 o estaus anteriores con el fin de identificar el error con un algoritmo inteligente y liberarlas lo antes posible.</t>
  </si>
  <si>
    <t>Facturas retenidas sin contabilizar</t>
  </si>
  <si>
    <t>Reducción de Tiempos de consulta</t>
  </si>
  <si>
    <t>S: Sitio terminado y validado por Nineth Gallegos</t>
  </si>
  <si>
    <t>Nineth Gallegos / Claudia Oliden</t>
  </si>
  <si>
    <t>La solución reemplaza la dispersión de documentos por un espacio único y organizado, reduciendo tiempos de búsqueda y errores en el uso de información desactualizada. Esto se traduce en mayor eficiencia para el equipo de ventas, mejora en la comunicación con clientes mediante materiales confiables y fortalecimiento de la estrategia comercial.</t>
  </si>
  <si>
    <t>Desarrollo de una página en SharePoint orientada al segmento de alimentos, que centraliza información clave para el equipo de ventas. El sitio incluirá recursos como hojas de seguridad de productos, brochures comerciales y casos de éxito, facilitando el acceso rápido a materiales actualizados y relevantes para impulsar la gestión comercial.</t>
  </si>
  <si>
    <t>Página de Sharepoint de Desarrollo de Negocios para el segmento de Alimentos</t>
  </si>
  <si>
    <t>Se revisará Q4 2025 con Pablo y Nifaedith esta necesidad para evaluar si sigue siento prioridad</t>
  </si>
  <si>
    <t xml:space="preserve">S: Proveedor seleccionado, en proceso de alta y sesiones iniciales de analisis de alcance y plan de desarrollo
N: Concuir el proceso de arranque y hacer seguimiento de sprints </t>
  </si>
  <si>
    <t>Velia Niño</t>
  </si>
  <si>
    <t>Pablo Vela</t>
  </si>
  <si>
    <t>No aplica</t>
  </si>
  <si>
    <t>Update de la matriz digital para generar la compensación variable a vendedores de GE y Merchant.</t>
  </si>
  <si>
    <t>Actualización plan compensación a vendedores PGP &amp; Merchant</t>
  </si>
  <si>
    <t>S: Automatizar el cobro de rentas y Mattos a clientes de Contado / Crédito
N: Realizar Junta para entender requerimientos del negocio. Sesión con Alejandro Torres / Deyanira Blanco / Rubén / Oscar Flores  Monterrubio. Evaluar uso de un Orquestador</t>
  </si>
  <si>
    <t>Automatizar el cobro de rentas y mantenimientos a clientes de contado.</t>
  </si>
  <si>
    <t>Cobro automático de rentas y mtto. a clientes de contado</t>
  </si>
  <si>
    <t>Eficiencia Operativa</t>
  </si>
  <si>
    <t>Terminado. La siguiente etapa del visor será realizado por Miguel González (donde se incluyen costos de insumos de mantenimientos).</t>
  </si>
  <si>
    <t>S: Se finalizó el visor con los KPIS básicos de productividad en mantenimiento de cilindros.
N: Como siguiente proyecto se incluirán los costos de los insumos para los mantenimientos al tablero para validación de costos del proceso por planta.</t>
  </si>
  <si>
    <t>La solución elimina la dependencia de reportes manuales, reduciendo errores y acelerando el análisis de información crítica. Al automatizar la visualización de KPIs, se mejora la toma de decisiones, se optimiza la planificación de recursos y se incrementa la productividad en las plantas. Además, aporta transparencia, facilita el seguimiento de objetivos y fortalece el control operativo.</t>
  </si>
  <si>
    <t>Desarrollo de un visor digital para mostrar los KPIs básicos del proceso de mantenimiento de cilindros en plantas PGP. La herramienta ofrece una visualización clara y en tiempo real del desempeño operativo del proceso de mantenimientos. Este visor complementa la aplicación para el registro digital de mantenimientos de cilindros, creando un ecosistema integrado que optimiza la gestión y el control del proceso.</t>
  </si>
  <si>
    <t xml:space="preserve">Herramienta Digital (visor) de KPI´s  básicos del proceso de Mantenimiento de Cilindros en plantas PGP México
</t>
  </si>
  <si>
    <t>Reducción de Tiempo</t>
  </si>
  <si>
    <t>Continuar con alimentación que compartan Arturo Lozano y Salvador González.</t>
  </si>
  <si>
    <t>S: Se diseñó y construyó el sitio. Actualmente dados de alta 24 documentos, 5 dashboards, 2 accesos a sitios, 34 videos.
N: En proceso se sube información que comparta Arturo Lozano en la página.</t>
  </si>
  <si>
    <t>Contar con el sitio, permite tener en un solo lugar toda la información relevante para el personal de Distribución, además fomenta la colaboración y asegura la estandarización y la productividad del área de Distribución.</t>
  </si>
  <si>
    <t>Desarrollo de un sitio en SharePoint para centralizar la información del área de Distribución, incluyendo procedimientos operativos, materiales de capacitación y documentos relacionados con PESD. El objetivo es ofrecer un espacio único, organizado y accesible que facilite la consulta y actualización de contenido crítico para la operación.</t>
  </si>
  <si>
    <t>Sitio de Sharepoint para Distribución PGP</t>
  </si>
  <si>
    <t>S: Sitio terminado y validado por Ninfaedith Fernández.</t>
  </si>
  <si>
    <t>El contar con el sitio de Precios y Contratos completo y actualizado, se traduce en mejor control sobre campañas comerciales, toma de decisiones basada en datos confiables y fortalecimiento del cumplimiento de políticas internas. Además, impulsa la agilidad comercial y la transparencia en la gestión de precios y contratos.</t>
  </si>
  <si>
    <t>Actualización de la página de Precios y Contratos para incorporar información estratégica y relevante para el área comercial, incluyendo campañas de precios, indicadores económicos y otros datos clave que faciliten la gestión y toma de decisiones. El rediseño busca ofrecer un acceso más intuitivo y centralizado a contenido actualizado</t>
  </si>
  <si>
    <t>Sitio de Sharepoint de Precios y Contratos.</t>
  </si>
  <si>
    <t>S: Video terminado. Como siguiente paso es subir el video a ELEVATE con apoyo de César González.</t>
  </si>
  <si>
    <t>Distribución Bulk/Servicio a Clientes - Instalaciones</t>
  </si>
  <si>
    <t>Héctor Cuellar</t>
  </si>
  <si>
    <t>La digitalización del material formativo sustituye sesiones presenciales y documentos estáticos por un recurso interactivo que mejora la retención del conocimiento y reduce costos de capacitación y desarrollo de materiales con proveedores externos. Esto se traduce en ahorro de tiempo, mayor consistencia en la instrucción, disminución de errores operativos y cumplimiento normativo.</t>
  </si>
  <si>
    <t>Producción de un vídeo con IA  mediante la plataforma Synthesia, para la capacitación en el uso correcto y el llenado de la aplicación PESD para conductores profesionales. El contenido será publicado en Elevate, garantizando un formato accesible, dinámico y estandarizado para reforzar el aprendizaje y la correcta ejecución del proceso.</t>
  </si>
  <si>
    <t>Video with AI for instructions how to fill PESD program App information</t>
  </si>
  <si>
    <t>S: Ya se cuenta con el visor, solo se está ajustando un powerautomate para el envío de alertas.</t>
  </si>
  <si>
    <t>La solución permite anticipar vencimientos y reducir riesgos operativos y legales. Ofrece mayor eficiencia en la gestión documental, disminuye errores, optimiza tiempos de validación y mejora la toma de decisiones mediante alertas oportunas.</t>
  </si>
  <si>
    <t>Visor digital para reportar el estatus de licencias y constancias psicofísicas de conductores PGP a nivel nacional, incluyendo alertas preventivas antes del vencimiento de documentos. La herramienta proporciona visibilidad completa y control sobre la vigencia, asegurando trazabilidad y cumplimiento normativo en la operación.</t>
  </si>
  <si>
    <t>Visor para el análisis y seguimiento de estatus de licencias y Constancias Psicofísicas de conductores Linde.</t>
  </si>
  <si>
    <t>Esta pendiente seguimiento a IT para su priorización</t>
  </si>
  <si>
    <t xml:space="preserve">Análisis </t>
  </si>
  <si>
    <t>1. Control de documentos y especificaciones
2. Eficiencia operativa : reducción de tiempos en actividades manuales
3. Mejora en el nivel de servicio: 0 reclamaciones por concepto de certificados de calidad</t>
  </si>
  <si>
    <t xml:space="preserve">Se divide el proyecto en 2 etapas: 
1. Replicar QR en los cilindros para descarga de certificados de calidad para Gases Puros
2. Mapeo del As Is en la semana del 24 al 28 de feb del proceso para mezclas especiales
3. Definir el alcance y requerimientos de negocio para emitir lo certificados electrónicos 
4. Esta en lista de espera por IT 
</t>
  </si>
  <si>
    <t>S: Ya se emiten los certificados de calidad de forma electrónica de gases puros en ECOA, se va a mejorar esa solución replicando el uso de QR en los cilindros
N: Etapa 1 : Replicar el uso de QR para la emisión de certificados electrónicos para gases puros. 
Etapa 2: Replicar o diseñar la emisión de certificados electrónicos para Gases especiales.
Se detonó una sesión con Raul Gallegos, su equipo, Rodolfo Gomez, Ismael Hernández.
30 / 06 / 2025 Está lista de espera de IT</t>
  </si>
  <si>
    <t xml:space="preserve">PGP Gases especiales </t>
  </si>
  <si>
    <t>Ismael Hernández</t>
  </si>
  <si>
    <t xml:space="preserve">1.  Optimización del proceso y mejora de la experiencia del cliente al tener al mismo tiempo el producto y su certificado de calidad sin tener que esperar un correo electrónico, solicitarlo, o meterse al portal de LINDE a descargar el certificado de calidad
2.  Mejora en control administrativo de los documentos
3. Reducción de tiempos y carga administrativa para el envío de los certificados </t>
  </si>
  <si>
    <t>Replicar la funcionalidad de Ecuador para descarga de certificados de calidad para gases puros</t>
  </si>
  <si>
    <t>QR para descarga de certificados de calidad Gases puros</t>
  </si>
  <si>
    <t>Costo de oportunidad por no factirar en tiempo y forma</t>
  </si>
  <si>
    <t>Tiempo / control administrativo
Reducción de horas hombre para hacer el proceso y dar seguimiento</t>
  </si>
  <si>
    <r>
      <t xml:space="preserve">Ingresos adicionales
</t>
    </r>
    <r>
      <rPr>
        <sz val="9"/>
        <color rgb="FFFF0000"/>
        <rFont val="LindeDaxGlobal"/>
      </rPr>
      <t>$ estimado según el volumen de lento movimiento</t>
    </r>
  </si>
  <si>
    <t>Definir Requerimientos de Negocio para crear BOT de facturación automática
Se identifica un Stopper de que la información de TA está duplicada en los cilindros por lo que primero hay que corregir esta Data</t>
  </si>
  <si>
    <t>1.Convierte un proceso reactivo a un mecanismo de captura sistemática de ingresos o recuperación de costos incurridos.
2.  Ayuda a tener un mejor control y trazabilidad del proceso, además asegura el cumplimiento de políticas o definiciones de negocio.
3. Aumenta la recuperación de ingresos y mejora la consistencia del flujo de facturación al no perder de vista ningún evento de ese tipo.
4. Decisiones basadas en reglas y datos, no en percepciones o presiones.
5. Un proceso más fluido y transparente para todas las partes
6. Confianza y reducción de riesgos.</t>
  </si>
  <si>
    <t>Revisar y automatizar el proceso para facturar a clientes los cilindros detectados en lento movimiento, esto debrá incluir un proceso simple de autorización, evitando a toda costa la generación manual de la factura.</t>
  </si>
  <si>
    <t>Automatización de la Facturación por cilindros en lento movimiento.</t>
  </si>
  <si>
    <t>S: Gerardo revisará información con el equipo de José Pinto para probar los datos.
N: En función de las pruebas se definirán los sig. Pasos</t>
  </si>
  <si>
    <t>Proyecto Réplica de Digital Américas</t>
  </si>
  <si>
    <t>Modulo para Análisis de patrones de consumo de Ctes con AI</t>
  </si>
  <si>
    <t>1. Asegurar incluir dentro del alcance del cost to serve las necesidades de Gases Especiales.</t>
  </si>
  <si>
    <t>Simplicidad administrativa y reducción de tiempos</t>
  </si>
  <si>
    <t xml:space="preserve">Cambio en la estructura organizacional. Esta iniciativa se evaluará si puede cubrirse con una herramienta similar que cubra este requirimiento en todos los negocio, no sólo Especiales
</t>
  </si>
  <si>
    <t>S: Se identificó oportunidad con usuario y se requiere definiciones de alcances y líderes para el proyecto.
N: Sesión con Process Owner para tomar definiciones de negocio
Se asigna como parte del proyecto para la migración del cost to serve de Envasados con filtros y vistas acorde las necesidades del segmento de negocio</t>
  </si>
  <si>
    <t xml:space="preserve">1. Trazabilidad automática del desempeño a nivel Flash
2. Agilidad para detectar oportunidades y detonar acciones 
3. Proporciona una visión integral y en tiempo real del desempeño de los margenes </t>
  </si>
  <si>
    <t xml:space="preserve">Automatizar un reporte para monitorear el margen por línea de Flash de Gases Especiales, diseñar y habilitar una vista ejecutiva que integre tanto los datos de costos, gastos, efecto en precio y ventas para monitorear el desempeño  </t>
  </si>
  <si>
    <t xml:space="preserve">Reporte para visualizar el Margen por línea de Flash gases especiales </t>
  </si>
  <si>
    <t>Control de transacciones y cumplimiento</t>
  </si>
  <si>
    <t xml:space="preserve">Sesión con el negocio para definir requerimientos 1era semana de marzo
</t>
  </si>
  <si>
    <t>S: Se identificó la oportunidad. Este proceso cambiaría con el Proyecto de firmas digitales
N: Sesión con el negocio para definir requerimientos</t>
  </si>
  <si>
    <t xml:space="preserve">Facilitar y agilizar el proceso de conciliación administrativa en plantas y sucursales, asegurar la conciliación de rutas
</t>
  </si>
  <si>
    <t>Automatizar o digitalizar el proceso de conciliación de rutas</t>
  </si>
  <si>
    <t>Control administrativo</t>
  </si>
  <si>
    <t>Se agenda sesión 29 abril con Cobranza y Facturación</t>
  </si>
  <si>
    <t>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
N: Crear roles específicos para acceso a la información a usuarios de las areas: Soporte Integra, Operaciones, Facturación, Crédito y Cobranza.</t>
  </si>
  <si>
    <t>Herramienta que Identifique ventas retenidas en estatus 580 - 620 con el fin de identificar el error con un algoritmo inteligente y liberarlas lo antes posible.</t>
  </si>
  <si>
    <t>Herramienta Digital para el análisis y seguimiento de Facturas retenidas sin contabilizar (duplicado)</t>
  </si>
  <si>
    <t>S: Se realiza sesión con equipo Staff para entender los GAPS identificados y se elabora un plan a seguir involucrando otras áreas
N: Sesión con líderes de Distribción para revisar el mapeo del proceso y las oportunidades identificadas. Definir oportunidades de Tecnología y/o definiciones de negocio (Procedimiento)</t>
  </si>
  <si>
    <t>Revision de modelo de compensación Variable de PGP, para automatizar y reducir oportunidades de GAPS en el proceso</t>
  </si>
  <si>
    <t>Rediseño de modelo de compensación Variable de Distribución para PGP</t>
  </si>
  <si>
    <t>Control y optimización</t>
  </si>
  <si>
    <t>Herramienta como solución en proceso de recopilación de tickets como soporte de firma electrónica.</t>
  </si>
  <si>
    <t>Identificar los número de ordenes de JDE que contienen movimientos de cilindros que afectan el balance del cliente.</t>
  </si>
  <si>
    <t>Dashboard para identificar ordenes con Aumento de Dotación, recolecciones definitivas y cambios de servicio.</t>
  </si>
  <si>
    <t>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t>
  </si>
  <si>
    <t>Juan José Ochoa</t>
  </si>
  <si>
    <t>Previo a este desarrollo solo existía la base de datos de permisos para los negocios, pero sin considerar los otros requerimientos críticos de entidades como COFERPRIS o STPS, esta innovación aporta la posibilidad de alimentar el estatus de esos requerimientos en bases de datos centrales, proporcionado estandarización y agilidad, y dando de la posibiidad de tener una visualización clara para minimizar riesgos de inclumplimientos y garantizar la continuidad del negocio.</t>
  </si>
  <si>
    <t>Se desarrollaron seis aplicaciones para gestionar el estatus de permisos y requerimientos regulatorios en distintas operaciones: Tiendas, Plantas (PGP y GI), Nitropet, Onsite, Oficinas, Inmuebles y unidades de distribución (PGP, Bulk, Nitropet). Estas aplicaciones permiten capturar y actualizar información crítica de cumplimiento en cada localidad. Además, se implementó un visor centralizado que muestra en tiempo real el estado de permisos y requerimientos, facilitando la supervisión global. El proyecto se complementa con guías y vídeos instructivos para realizar evaluaciones dentro de las aplicaciones, asegurando una adopción eficiente por parte de los usuarios. Esta iniciativa responde a nuevos requerimientos del negocio, garantizando alineación con las necesidades operativas y regulatorias.</t>
  </si>
  <si>
    <t xml:space="preserve">Sistema de administración de permisos y requerimientos de autoridades en localidades Linde: BD, APP  para alimentación  y visor de estatus de los anteriores. </t>
  </si>
  <si>
    <t>Se incrementarán en Promedio mil cilindros por.  mes adicional para viajes que antes no se tenían. EL costo por cilindro no embarcado 127 pesos promedio sin Noroeste donde es 200. 6300 USD por mes</t>
  </si>
  <si>
    <t>S: App terminada y presentada en el comité digitalización</t>
  </si>
  <si>
    <t>La digitalización elimina la dependencia de hojas de cálculo, reduciendo errores y mejorando la trazabilidad de la información. La automatización del registro agiliza la captura de datos, optimiza la gestión de recursos y facilita el análisis de indicadores clave como costos y tiempos por servicio. Además, contribuye a la eficiencia operativa, incrementa la productividad y fortalece la toma de decisiones estratégicas mediante información confiable</t>
  </si>
  <si>
    <t>Desarrollo de una aplicación para digitalizar el proceso de registro de mantenimiento de cilindros en plantas PGP, sustituyendo los formatos en Excel por una plataforma ágil y centralizada. La solución permitirá registrar hasta 17 servicios distintos asociados a cada mantenimiento, incluyendo su costo y tiempo, con el objetivo de medir la eficiencia del proceso por operador y planta.</t>
  </si>
  <si>
    <t>App para la Digitalización del proceso de registro de mantenimiento de cilindros en plantas PGP.</t>
  </si>
  <si>
    <t>APPS listas desarrolladas por Santiago Juárez y el reporte de bi en ajustes por Braulio Martínez</t>
  </si>
  <si>
    <t>S: Se desarrollaron BD, APPs y visor referentes a permisos y otros requerimientos (RH, COFEPRIS, Otros) para Tiendas.</t>
  </si>
  <si>
    <t xml:space="preserve">Aplicación para alimentación de estatus de permisos y requerimientos de autoridades para localidades Linde complementada por un visor que muestra el estatus de permisos y requiermientos en las localidades. PARTE 1
</t>
  </si>
  <si>
    <t>Sistema de administración de permisos y requerimientos de autoridades localidades LInde: BD , APP  para alimentación</t>
  </si>
  <si>
    <t>Pruebas</t>
  </si>
  <si>
    <t>S: Se realizan ajustes y pruebas por IT.
N: Por liberar ambiente para que el CSC realice pruebas (Dic-25)</t>
  </si>
  <si>
    <t>Adolfo Olmedo/Lei Sun</t>
  </si>
  <si>
    <t>Automatiza el proceso de captura de pedidos, optimizando tiempos de agentes del CSC y disminuyendo margen de error.</t>
  </si>
  <si>
    <t>Solución de IA enfocada en CSC Envasados  que interpreta mails con pedidos, resumiendo solicitud y crea pedido (orden) en JDE.</t>
  </si>
  <si>
    <t>OrderGPT para Gases Envasados</t>
  </si>
  <si>
    <t>G8</t>
  </si>
  <si>
    <t>Gerardo Moya incluyó ese proyecto, en su momento tenía una persona que trabajó una prueba de concepto pero no se llegó a una solución completa, tendríamos que volver a explorar otras soluciones potenciales, la cuestión es que tenemos otros proyectos que el grupo de Hector nos ha marcado que tienen mayor prioridad</t>
  </si>
  <si>
    <t>Validar con Mayela Ramírez tiempos de requerimiento de este proyecto, en función de la inversión requerida.</t>
  </si>
  <si>
    <t>S: Se identificó la necesidad. Se realizaron algunas pruebas del modelo de estandarización de direcciones (ML) con largos tiempos de procesamiento. Se solicitó un servidor con mayor capacidad
N: Resolver si se requiere inversión de un servidor adicional en cuanto confirme IT disponibilidad de recursos</t>
  </si>
  <si>
    <t>Mayela Ramírez</t>
  </si>
  <si>
    <t>La incorporación de esta funcionalidad elimina la dependencia de datos incompletos o imprecisos, reduciendo errores en la logística y mejorando la puntualidad en las entregas. Al automatizar la captura de ubicación, se incrementa la eficiencia operativa, se disminuyen costos por reprocesos y se fortalece la experiencia del paciente. Además, la precisión geográfica facilita la toma de decisiones en la planificación de rutas, contribuyendo al cumplimiento normativo y a la optimización de recursos.</t>
  </si>
  <si>
    <t>Implementación de una funcionalidad que permite a los pacientes de Homecare registrar su ubicación exacta en la plataforma, asegurando datos precisos de domicilio. Esta solución optimiza la gestión de geoposicionamiento para que el área de distribución pueda planificar y ejecutar entregas de productos como oxígeno medicinal y otros servicios domiciliarios de manera eficiente y confiable.</t>
  </si>
  <si>
    <t>Auto - Geoposición pacientes iniciales Homecare</t>
  </si>
  <si>
    <t>G2</t>
  </si>
  <si>
    <t>Se llevo a cabo una sesión con Raul Gallegos y su equipo,</t>
  </si>
  <si>
    <t>S: Se revisó con RH la necesidad y se identificó que hay varios departamentos con necesidades similares. RH quedó de integrar en un solo esfuerzo una herramienta que sirva para todos. Se consolidará en un proyecto mayor de otros negocios con la misma necesidad de acuerdo a IT
N: Revisar con RH estatus y asignación de recursos para el desarrollo, integrarlos a las sesiones de seguimiento de proyectos.</t>
  </si>
  <si>
    <t>Capacitacion  técnica/Procesos PGP</t>
  </si>
  <si>
    <t>Johnny Hernández</t>
  </si>
  <si>
    <t>IT Corporativo / RH</t>
  </si>
  <si>
    <t>Si</t>
  </si>
  <si>
    <t>Automatizar el proceso de capacitación (cursos clave o básicos) para personal de operaciones.</t>
  </si>
  <si>
    <t>Perfil de capacitación por empleado ligado a un Código QR</t>
  </si>
  <si>
    <t>Apoyar con la definición del proyecto, dimensionamiento y definición de requerimientos.</t>
  </si>
  <si>
    <t>1. Control y trazabilidad de documentos
2. Reducción de horas hombre  por reporteo y emisión de certificados</t>
  </si>
  <si>
    <t>$TBD</t>
  </si>
  <si>
    <t xml:space="preserve">Se divide el proyecto en 2 etapas: 
1. Replicar QR en los cilindros para descarga de certificados de calidad para Gases Puros
2. Retomar mapeo del  As Is del proceso para mezclas especiales
3. Definir el alcance y requerimientos de negocio para emitir lo certificados electrónicos 
</t>
  </si>
  <si>
    <t>S: Ya se emiten los certificados de calidad de forma electrónica de gases puros en ECOA, se va a mejorar esa solución replicando el uso de QR en los cilindros
Etapa 2: Replicar o diseñar la emisión de certificados electrónicos para Gases especiales.
Se detonó una sesión 19 Feb con Raul Gallegos, su equipo, Rodolfo Gomez, Ismael Hernández.
Se queda pendiente el proyecto a la espera de la evaluación de impacto y complejidad por parte de IT para definir en qué momento se inicia ese desarrollo</t>
  </si>
  <si>
    <t>1. La automatización de estos reportes y certificados, traera consigo una reducción de errores, reducción de carga administrativa para personal de laboratorio, reduce el mag de error y los tiempos de envío de esta información a clientes
2. Mejorar la trazabilidad de estos documentos para efectos de auditoria</t>
  </si>
  <si>
    <t xml:space="preserve">Replicar la funcionalidad de ECOA para gases puros para las Mezclas especiales. Consiste en el desarrollo de reportes y certificados de calidad para las mezclas especiales. </t>
  </si>
  <si>
    <t>ECOA etapa II Mezclas especiales</t>
  </si>
  <si>
    <t>Control / Compliance</t>
  </si>
  <si>
    <t>Se incluye en el proyecto de Desempeño de clientes ganados y Perdidos que solicitó Eber Montoya / Oscar Flores</t>
  </si>
  <si>
    <t>S: Se identificó oportunidad con usuario y se requiere definiciones de alcances y líderes para el proyecto.
N: Sesión con Process Owner para tomar definiciones de negocio</t>
  </si>
  <si>
    <t>Actualizar el reporte de clientes perdidos o en riesgo, para clientes de Especiales (Win / Lost) - 
Para que se acomode a los criterios del SIP</t>
  </si>
  <si>
    <t xml:space="preserve">Actualizar el reporte de clientes perdidos o en riesgo, para clientes de Especiales (Win / Lost) </t>
  </si>
  <si>
    <t>1. Se va a revisar con Oscar Flores y Raúl Gallegos el alcance del reporte actual para identificar que filtros se pueden agregar para gases especiales / Semana del 20 al 28 de feb. El reporte actual ya puede mostrar información de los clientes de Especiales
2. Levantar el listado de requerimientos de negocio para traducir a técnicos y actualizar el tablero / Fecha compromiso 15 de Marzo</t>
  </si>
  <si>
    <t>Actualizar el reporte de clientes perdidos o en riesgo, para clientes de Especiales (Win / Lost) - Carolina Varela</t>
  </si>
  <si>
    <t>1. Se requiere conseguir los documentos Digitales para darlos de alta junto con los Fotamos Básicos DGD Packing list y documentos comerciales
2. Se agenda sesión de seguimiento con Karla García para semana 22 de Abril y par revisar con Miguel Mtz sesión 7 de Mayo.</t>
  </si>
  <si>
    <t>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N: Hacer la compra de las Guías, Karla García. Subir los documentos pendientes por subir. Para la parte de importaciones se enlazará con el proyecto de aplicación Juan Daniel Gonzalez.</t>
  </si>
  <si>
    <t>Asistente de AI mediante el uso de NITRO y Copilot que permite consultar información actualizada de normativas y procedimientos que permitan llevar a cabo un proceso de exportación de Gases basado en información actualizada y en Compliance</t>
  </si>
  <si>
    <t>Asistente virtual con AI para consulta de información confiable y aseguramiento de requisitos en el proceso de Exportación de Gases</t>
  </si>
  <si>
    <t xml:space="preserve">Con los cambios de estructura organizacional se revisará quien será el dueños de esta iniciativa
</t>
  </si>
  <si>
    <t xml:space="preserve">S: Se identificó la necesidad general por el negocio. Se requiere asignar un recurso técnico y por el negocio definir los alcances y datos para construir el modelo. Nancy envía a Salvador los requerimientos necesarios al sistema.
N: Asignar desarrollo a recursos por ingresar (becarios) y tener las definiciones se negocio de los alcances del modelo y funcionalidad. Asignar líder de operaciones para este proyecto. </t>
  </si>
  <si>
    <t>Un sistema Digital ayudaría a hacer la logística que hoy es a mano</t>
  </si>
  <si>
    <t>Optimización de Cadena de suministro de Helio PGP.</t>
  </si>
  <si>
    <t>App donde se puedan programar Mttos y subir evidencias. Potencial uso de una PowerAPP</t>
  </si>
  <si>
    <t>Sistema de Administración de Contratistas</t>
  </si>
  <si>
    <t>Terminado el visor.</t>
  </si>
  <si>
    <t>S: Terminado el tablero
N: Hay una columna que aunque está definida la información tiene inconsistencia pero se requiere que Juan España proporcione la información correcta. Se está dando seguimiento.</t>
  </si>
  <si>
    <t>Nancy González</t>
  </si>
  <si>
    <t>IT Juan España*</t>
  </si>
  <si>
    <t>Este dashboard ofrece una solución automatizada que mejora la visibilidad y control sobre los inventarios de Hardgoods. Agiliza la identificación de productos añejos y optimiza la planificación de compras y ventas. Además, contribuye a la eficiencia operativa, disminuye costos por sobrestock y fortalece la toma de decisiones estratégicas para mover inventarios añejos, impulsando la rentabilidad.</t>
  </si>
  <si>
    <t>Desarrollo de un dashboard digital para la gestión de inventarios de Hardgoods, que consolide información clave sobre rotación, ventas, recepciones y precios. La herramienta permitirá un análisis integral y en tiempo real, facilitando la toma de decisiones para reducir inventarios de lento movimiento y prevenir el añejamiento de productos.</t>
  </si>
  <si>
    <t>Visor Digital de Inventarios Hardgoods.</t>
  </si>
  <si>
    <t>AM03225</t>
  </si>
  <si>
    <t>Optimizacion del Proceso y reducción de tiempo admvo</t>
  </si>
  <si>
    <t xml:space="preserve">S: Se crearon las cards 32535 ( para cargar de forma automática los vendedores vigentes - Juan Romero) la cual ya esta cerrada y la card 32536 (Programa para cargar las excepciones), ambas cards cerradas.
</t>
  </si>
  <si>
    <t xml:space="preserve">Automatización de información en tablero existente. Actualmente IT y Retail gestionan parte de la información manual para actualizarlo. 
</t>
  </si>
  <si>
    <t>Actualización Automática de Tablero de Ventas Retail</t>
  </si>
  <si>
    <t>S: Se tiene la estructura del visor, solo se espera que IT libere la extracción de datos del Sistema de Calidad para enlazarlo al tablero y tener completa la información a mostrar en el tablero.</t>
  </si>
  <si>
    <t>Calidad</t>
  </si>
  <si>
    <t>Alejandra Medrano</t>
  </si>
  <si>
    <t>Brenda Apreza</t>
  </si>
  <si>
    <t>La implementación elimina la búsqueda manual de resultados de auditorías en el sistema de Calidad, ofreciendo una en una sola pantalla la información requerida de cualquier proceso de auditoría de plantas en Linde México. Gracias a la información se refuerza el cumplimiento normativo y seguimiento a planes de acción para mitigar las no conformidades señaladas.</t>
  </si>
  <si>
    <t>Implementación de un visor digital para centralizar y consultar los resultados de auditorías internas y externas realizadas en las plantas de Linde México por el área de Calidad. La herramienta permitirá validar el cumplimiento de requerimientos normativos y dar seguimiento a planes de acción derivados de no conformidades detectadas, asegurando trazabilidad y control en todo el proceso.</t>
  </si>
  <si>
    <t xml:space="preserve">Visor para registro de datos de auditorías (no conformidades) y cumplimiento de normatividad calidad en plantas
</t>
  </si>
  <si>
    <t>S: Se libera la herramienta, se da capacitación a usuarios.
N: Se dará acceso a gerentes comerciales.</t>
  </si>
  <si>
    <t>Herramienta donde se integran los KPIs de forma diaria para seguimiento y toma de acciones de forma oportuna en temas adminisrativos: reclamaciones, bitácoras, uso HH, Conciliación rutas, transitos, permisos, gastos que actualmente se integran manualmente.</t>
  </si>
  <si>
    <t>Dashboard Digital de KPI´s  Administrativos para Sucursales</t>
  </si>
  <si>
    <t>Pendiente validar con Oscar el beneficio en reducción de horas</t>
  </si>
  <si>
    <t xml:space="preserve">Desarrollo </t>
  </si>
  <si>
    <t xml:space="preserve">Se sugiere dividir el proyecto en dos etapas para acelerar el resultado:
Etapa 1: Ampliar el alcance del proyecto de forecast automático de Oscar Flores para que incluya Especiales, ese proyecto tiene 70% de avance y tiene juntas de seguimiento quincenales, la siguiente junta es el 28 de feb.
30/06/2025 : Pendiente la validación de datos resultado de correr el nuevo modelo 
Etapa 2: Levantar requerimientos para diseñar el reporte de ventas, se propone revisar el proceso As Is con César Moreno y Pablo Núñez / semana del 20 al 28 de feb.
Pendiente incluir los filtros de Gases especiales Nov 2025
</t>
  </si>
  <si>
    <t>S: Se identificó oportunidad con usuario y se requiere definiciones de alcances y líderes para el proyecto.
Se revisa el alcance del reporte de ventas que está en proceso y hay posibilidad de integrar ambos requerimientos y desarrollar un solo reporte
N: Sesión con Process Owner para tomar definiciones de negocio
30/06/2025 : Se toma un nuevo modelo de datos para hacer el cálculo del forecast</t>
  </si>
  <si>
    <t>1. El desarrollar un modelo predictivo nos da mayor nivel de predicción y actualización rapida y continua del pronóstico
2. Toma de decisiones basadas en datos y no por intuición 
3. Capacidad de respuesta, frente a cambios en las condiciones de mercadoo del cliente
4. Base de alineación continua entre áreas para la toma de decisiones (ventas, operaciones, finanzas, compras etc)
5. Visibiliad estratgíca casi en tiempo real y sin esperar reportes manuales</t>
  </si>
  <si>
    <t>Automatizar el reporte de ventas de gases especiales a un nivel de detalle granular y que sirva como base para el cálculo del forecast (Se necesitan varios cortes al mes)</t>
  </si>
  <si>
    <t>Reporte de ventas y forecast para mezclas especiales.</t>
  </si>
  <si>
    <t>Automatización de facturación en PGP por distintos temas comerciales y operaciones (lento movimiento, cilindros paseados, desviaciones operativas) derivados de la información generada por Trackabout. Potencialmente la Herramienta PROFITS puede usarse para lento movimiento y desviaciones comerciales</t>
  </si>
  <si>
    <t xml:space="preserve">Automatización de la facturación por desviaciones operativas </t>
  </si>
  <si>
    <t>Proyecto desarrollado por CITIZEN DEVELOPER: Adán Alarcón</t>
  </si>
  <si>
    <t>S: En etapa de implementación, por pasar la info a comunicación.</t>
  </si>
  <si>
    <t>La herramienta agiliza la gestión documental y reduce riesgos de incumplimiento. Los beneficios incluyen ahorro de tiempo en la recopilación de información, disminución de errores.</t>
  </si>
  <si>
    <t>Desarrollo de una aplicación y base de datos para la gestión de documentos requeridos por el REPSE en proyectos con clientes que demandan servicios especializados de Microbulk. La solución permitirá solicitar, almacenar y consultar documentación clave como comprobantes de pagos de nómina, IMSS e INFONAVIT, asegurando disponibilidad y trazabilidad para cumplir con las obligaciones normativas.</t>
  </si>
  <si>
    <t>APP/ BD de documentos para cumplimiento del REPSE en proyectos con clientes para servicios especializados Microbulk.</t>
  </si>
  <si>
    <t>TBD (Las ventas actuales de PGP México industrial relacionadas con POS son de $2.7 millones de dólares/año)</t>
  </si>
  <si>
    <t>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t>
  </si>
  <si>
    <t>IA Inteligencia de Mercado</t>
  </si>
  <si>
    <t>1. Liderar el desarrollo de documentos base para la operación del CIAC
2. Explicación y traspaso de la documentación del CIAC
3. Entrega de lista de 140 iniciativas de mejora de procesos y optimización tecnólogica para mejorar la operación del CIAC
4. Documentación cargada en sitio de sharepoint</t>
  </si>
  <si>
    <t>Customer Service
Operational Efficiency
(entregable con las memorias del CIAC : Descripción de documentos entregados)</t>
  </si>
  <si>
    <t>Customer Service
Operational Efficiency</t>
  </si>
  <si>
    <t>1. Se concluye con la entrega de toda la documentación de la operación del CIAC (Back Office)
2. Se dejan memorias capturadas en sitio de sharepoint</t>
  </si>
  <si>
    <t>S: Se solicita a Pilar Arenas empezar a trabajar con Equipo de CSC para migrar actividades. Se sostienen reuniones en el mes de Abril
N: En proceso transición de actividades durante May y Jun.</t>
  </si>
  <si>
    <t>Gonzalo Algarra</t>
  </si>
  <si>
    <t>1. Supuesto de mejora en eficiencia operativa
2. Especialización y profesionalización del servicio
3. Escalabiliad y flexibiliad operativa
4. Mejorar el control y medición de resultados
5. Enfoque en el core del negocio
6. Acceso a tecnología de punta sin inversión directa
7. Reducción de riesgos operativos y laborales
8. Capacidad de Bench marking</t>
  </si>
  <si>
    <t>Proceso para el traspaso del know-how de :  rol, rutinas, responsabilidades, procedimientos y procesos de los Asesores comerciales,  actualmente desempeñado por personal de LINDE.  a Atento para la terciarización de la operación.</t>
  </si>
  <si>
    <t>Migración de procesos de back Office CIAC a Atento</t>
  </si>
  <si>
    <t>S: Se entrega a Heberto Marin link de aplicación y tutoriales para capacitación a usuarios</t>
  </si>
  <si>
    <t>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t>
  </si>
  <si>
    <t>APP Mantenimiento para PGS</t>
  </si>
  <si>
    <t>Ahorro horas hombre preparación reporte</t>
  </si>
  <si>
    <t>Se tiene listo el visor, solo se requiere validar que estén todos los CST por grupo definido por Grisel.</t>
  </si>
  <si>
    <t>Grisel Martínez</t>
  </si>
  <si>
    <t>La solución reemplaza reportes manuales y dispersos por una plataforma centralizada que facilita el análisis en tiempo real. Esto se traduce en mayor eficiencia en la gestión de datos, reducción de errores, ahorro de tiempo en la elaboración de informes y mejora en la toma de decisiones estratégicas.</t>
  </si>
  <si>
    <t>Desarrollo de un visor especializado para el negocio de CO₂, enfocado en mostrar indicadores clave de ventas en el segmento de Bebidas para los principales grupos a nivel nacional. La herramienta permitirá visualizar métricas estratégicas, tendencias y comparativos, ofreciendo una visión clara del desempeño comercial en este mercado.</t>
  </si>
  <si>
    <t>Visor de facturación del negocio de CO2 Bebidas a principales grupos institucionales</t>
  </si>
  <si>
    <t xml:space="preserve">S: Card 34390. Se termina y libera desarrollo de dashboard. Se capacita a la gerencia comercial de GE.
</t>
  </si>
  <si>
    <t>A diferencia de Decision y el cubo de gastos, en esta herramienta puedes visualizar la información a un nivel del detalle mínimo del año actual y el año anterior así como tambien análisis y variaciones de los datos.</t>
  </si>
  <si>
    <t>Herramienta que permita visualizar la información actualizada de costos y gastos al detalle, que facilite el análisis y envíe alertas de gastos fuera de promedio.</t>
  </si>
  <si>
    <t>Herramienta / Visor de costos y gastos Gases Envasados</t>
  </si>
  <si>
    <t>Asset Control</t>
  </si>
  <si>
    <t xml:space="preserve">1. Seguimiento con Pedro Ramírez sobre los cambios solicitados - 3 de Mar
2. Una vez liberados los cambios, se requiere probar y validar.
El proyecto se pone en HOLD, no se avanzó con las pruebas necesarias
</t>
  </si>
  <si>
    <t>S:  Se probo la solución en su versión original de Europa, identificando ajustes neCésarios para la región LATAM. 
Se levantaron definiciones de negocio y de proceso para cobros potenciales. Aunque la versión de Europa usaba SAP y se adaptó la nueva versión a JDE.
Actualmente ya se tienen 6 países incluyendo México con esta funcionalidad
Gerardo solicitó cambios a unos requerimientos - semana del 17 de Feb.
N: Realizar los cambios identificados - 24 al 28 de feb</t>
  </si>
  <si>
    <t>Uriel Torres / Pedro Ramírez</t>
  </si>
  <si>
    <t>Anabel Estrada / Brenda Ramírez</t>
  </si>
  <si>
    <t>Digital Business Solutions (Global)</t>
  </si>
  <si>
    <t xml:space="preserve">1. Ayuda a detectar desviaciones oportunamentes
2. Validar el cumplimiento de políticas, procesos, procedimientos y definiciones de negocio
3. Ayuda a mejorar la confiabilidad y trazabilidad de la información. </t>
  </si>
  <si>
    <t>Aplicación funcional alinado a la operación, con reglas de negocio claras, datos confiables y visibilidad de resultados para el monitorieo del flujo de un cilindro desde su inicialización, con el objetivo de identificar oportunidades que necesitan ser corregidas.</t>
  </si>
  <si>
    <t>Aplicación Celonis/Qliq 
Flujo de un cilindro</t>
  </si>
  <si>
    <t>Reduccion de Tiempo / Vtas adicionales</t>
  </si>
  <si>
    <t>Invitacion a sesión con tiendas. Deyanira Blanco
Seguimiento a uso de la herramienta en tiendas piloto y resto de las localidades
Continuar con la carga de documentos adicionales para enriquecer BD´s</t>
  </si>
  <si>
    <t>S: Implementó en 3 tiendas de Mty. Info ABC de tiendas, Catálogo de productos e información técnicas (Procesos de soldar) 
N: Habilitar al resto de los usuarios a nivel nacional en el resto de las tiendas. Semana del 7 Abril.
Integrar otros grupós como los Vtas comerciales y express</t>
  </si>
  <si>
    <t xml:space="preserve">Alimentar Nitro con información de consulta para vendedores en tiendas que pueda ayudar a los Vendedores a obtener información inmediata de diversos temas, Adminitrativos, Comerciales y Técnicos, con un alto nivel de confiabilidad. </t>
  </si>
  <si>
    <t>Asistente Virtual Inteligente para asistencia en Tiendas con NITRO AI</t>
  </si>
  <si>
    <t>Uso de un asistente virtual con AI (Potencial uso de Nitro) para apoyo en la consulta de información de operaciones en las plantas. Manuales, procedimientos, estándares, etc. Operativos</t>
  </si>
  <si>
    <t>Asistente virtual con AI NITRO para apoyo a Operaciones PGP</t>
  </si>
  <si>
    <t>Uso de AI para análisis de tendencias y patrones en las ventas. (Churn rate, tendencias, ctes en riesgo, )</t>
  </si>
  <si>
    <t xml:space="preserve">Comportamiento de las ventas con AI </t>
  </si>
  <si>
    <t>2026
1. Identificar en qué oportunidades de calidad de datos debemos trabajar
2. Estrategias que debemos seguir para que secorrijan las fallas que generan datos erroneos
3. Identificar en qupe parte del proceso debemos corregir las fallas</t>
  </si>
  <si>
    <t>Sesión de seguimiento con Anabel 3 al 7 de Marzo
Dic 2026 : Identificar los siguientes pasos en terminos de mejorar la calidad de los datos</t>
  </si>
  <si>
    <t>S:  Tablero de alta de activos elaborado y liberado en validación. Muestra activos que ingresan por registros de activos (la que debe ser) y los que ingresan por otros medio (recolecta, etc.) esto es FASE 1.
N: AMEF
N: Realizar un AMEF y validar nuevos requerimientos para el tablero.</t>
  </si>
  <si>
    <t>Héctor Cuéllar</t>
  </si>
  <si>
    <t>Anabel Estrada</t>
  </si>
  <si>
    <t>1. La herramienta permite identificar errores en los datos e identificar plenes de acción para corregirlos.</t>
  </si>
  <si>
    <t>Herramienta que permite identificar desviaciones y asegurar la calidad de los datos dentro de la aplicación de TA, identificando errores y/o inconsistencias de información como Num de Serie.</t>
  </si>
  <si>
    <t>Trackabout Value Streams Dashboard - Mejora en la calidad de la información. Detección de duplicados de Num de Serie de cilindros</t>
  </si>
  <si>
    <t>Mejora de Servicio a pacientes</t>
  </si>
  <si>
    <t xml:space="preserve">Tiempo - Hard Savings $ 60 K USD (disminución de 4 agentes $25k MXN/mes en CSC por conversión digital)
</t>
  </si>
  <si>
    <t>Proyecto colocado en backlog por el área de transformación digital dado que es un nice to have y actualmente el equipo se está enfocando en otras necesidades, además que esto nunca fue solicitado por el negocio.</t>
  </si>
  <si>
    <t>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
N: En Validación con Edgar Madrigal y Cindy Lozano si se llevará a cabo este año o no.</t>
  </si>
  <si>
    <t>Christian Carrillo</t>
  </si>
  <si>
    <t>La nueva versión de la aplicación elimina procesos manuales y reduce la dependencia de llamadas telefónicas, lo que incrementa la eficiencia y disminuye errores en la gestión de pedidos y recolecciones. Al centralizar las solicitudes en un canal digital, se agiliza la atención, se mejora la trazabilidad y se optimiza la planificación de recursos, generando ahorro de tiempo y costos. Además, esta innovación fortalece la experiencia del paciente y contribuye a la transformación digital del servicio.</t>
  </si>
  <si>
    <t>Rediseño de la aplicación Medigas para incorporar funcionalidades que permitan a los pacientes solicitar accesorios, cilindros de menor capacidad y gestionar la recolección de activos directamente desde la plataforma. Esta actualización busca ofrecer una experiencia más completa y ágil, facilitando la interacción del paciente con los servicios y optimizando la operación logística.</t>
  </si>
  <si>
    <t>Rediseño de a App Medigas</t>
  </si>
  <si>
    <t>E2</t>
  </si>
  <si>
    <t>S: Se libera herramienta que integra información para monitoreo de indicadores críticos en sucursales.
N: La información de producto a demostración se libera en una herramienta por separardo.</t>
  </si>
  <si>
    <t>Herramienta de diagnostico/medición de riesgos en sucursales en los siguientes temas: microcréditos, tiempo de cierre de bitácoras, TDI vs lista de empleados, productos a demostración, añejamiento en productos a demostración entre otras.</t>
  </si>
  <si>
    <t>Herramienta Digital para el Análisis, Monitoreo e identificación de riesgos de manera remota de variables administrativas en Sucursales</t>
  </si>
  <si>
    <t xml:space="preserve">Proyecto Concluido
</t>
  </si>
  <si>
    <t xml:space="preserve">S: Se desarrolla dashboard con el resumen y detalle de todas las ordenes pendientes de cerrar (O2, TY, A8 y ordenes pendientes de verificar en TA). Se libera con supervisores adiministrativos
</t>
  </si>
  <si>
    <t xml:space="preserve">Htta que facilita la detección y seguimiento en plantas y sucursales ordenes de JDE retenidas y que tienen que cerrarse.
</t>
  </si>
  <si>
    <t>Herramienta Digital para el análisis y seguimiento de transacciones pendientes por cerrar (A8, O2, TT, TY)</t>
  </si>
  <si>
    <t>AM03522</t>
  </si>
  <si>
    <t xml:space="preserve">Htta que facilita el seguimiento al cumplimiento dirario de conciliación administrativa de rutas en plantas y sucursales. 
</t>
  </si>
  <si>
    <t>Herramienta Digital para el analisis y seguimiento del proceso de conciliación de rutas</t>
  </si>
  <si>
    <t>AM03518</t>
  </si>
  <si>
    <t>Mejora en Servicio</t>
  </si>
  <si>
    <t>Terminado.</t>
  </si>
  <si>
    <t xml:space="preserve">S :Este tablero quedó finalizado.
N: Uso por parte del negocio
</t>
  </si>
  <si>
    <t>Gustavo Primo</t>
  </si>
  <si>
    <t>La migración y optimización del tablero elimina limitaciones técnicas y mejora la confiabilidad de la información, reduciendo errores y tiempos de análisis. Esto se traduce en mayor eficiencia en el seguimiento de entregas, toma de decisiones basada en datos en tiempo real y fortalecimiento del control operativo.</t>
  </si>
  <si>
    <t>Migración del tablero de cumplimiento de entregas del servicio Homecare desde Tableau a Power BI, incorporando ajustes necesarios para resolver fallos derivados de la integración con TrackAbout. El visor mostrará el estatus de entregas de servicios iniciales y finales, así como los servicios pendientes, ofreciendo una visualización clara y actualizada del desempeño operativo.</t>
  </si>
  <si>
    <t>Reporte (visor) de cumplimiento de entregas del servicio de  Homecare</t>
  </si>
  <si>
    <t>Control de Activos</t>
  </si>
  <si>
    <t>Se realizan sesiones con Jose Lainez de Corporación para el entendimiento del modelo del CIM y poder aprovechar el modelo en el desarrollo del tablero</t>
  </si>
  <si>
    <t xml:space="preserve">S: Terminada validada por Operaciones
N: En seguimiento para su difusión y uso </t>
  </si>
  <si>
    <t>Herramienta gráfica que permite desplegar los resultados del modelo del Cilinder Inventory Management para identificar las oportunidades de balance y tranferencia de inventarios en las localidades de PGP</t>
  </si>
  <si>
    <t>Herramienta Digital del análisis de inventario de cilindros basado en el modelo de CIM</t>
  </si>
  <si>
    <t>Hablar con José Pinto para agilizar la solución o que defina un deadline para que quede el punto de las jerarquías.</t>
  </si>
  <si>
    <t>S: Sigue pendiente el tema de las jerarquías. Se armó un file por parte de PYC y actualmente el desarrollador de la corporación  está configurando la información pero va  muy lento y aparte notificó que se va de la compañía en diciembre. 
 Update: 28 octubre 2025 por NinfaEdith Fernández</t>
  </si>
  <si>
    <t>Iván Arredondo/ Frank Mufalli</t>
  </si>
  <si>
    <t>Oscar Flores / Ninfaedith Fernández</t>
  </si>
  <si>
    <t>Este desarrollo elimina la gestión manual de campañas, reduciendo errores y acelerando la implementación de incrementos, lo que asegura una respuesta más ágil ante variaciones económicas. La automatización mejora la eficiencia operativa, optimiza la rentabilidad y fortalece la toma de decisiones estratégicas basadas en datos precisos. Además, contribuye al cumplimiento de lineamientos internos y a la estandarización del proceso, generando ahorro de tiempo y mayor control sobre la política de precios.</t>
  </si>
  <si>
    <t>Automatización de las campañas dinámicas para el incremento de precios a clientes, con capacidad para identificar rezagos en la aplicación de ajustes conforme a la inflación interna. La solución se alimenta del modelo del proyecto Pricing Precision, garantizando que las actualizaciones se ejecuten de manera consistente y alineada con las políticas comerciales.</t>
  </si>
  <si>
    <t>Price Tag</t>
  </si>
  <si>
    <t>G6</t>
  </si>
  <si>
    <t>S: el dashboard se encuentra en desarrollo y validación de datos</t>
  </si>
  <si>
    <t>Jesus Guzman</t>
  </si>
  <si>
    <t>Oscar Caballero</t>
  </si>
  <si>
    <t>Eliminar trabajo manual para elaborar tablas y gráficos en excel</t>
  </si>
  <si>
    <t>Dashboard para seguimiento a KPI´s sobre los mantenimientos preventivos y correctivos que se registran en la app EAM</t>
  </si>
  <si>
    <t>Visor EAM: Principales KPIS de mantenimientos PREVENTIVOS en unidades de distribución</t>
  </si>
  <si>
    <t>pero es junto con el proyecto del Pricing Precision</t>
  </si>
  <si>
    <t>Proyecto terminado, solo falta presentación con Pablo Vela</t>
  </si>
  <si>
    <t xml:space="preserve">La herramienta mejora la precisión en la estrategia de precios, agiliza la toma de decisiones y permite aplicar incrementos de manera consistente y alineada con el mercado. </t>
  </si>
  <si>
    <t>Desarrollo de una herramienta digital, Visor Pricing Precision – México, que consolide información sobre la situación actual de precios a nivel cliente-producto. El visor mostrará histórico de precios, comparativas frente al promedio y recomendaciones generadas por el modelo de inteligencia artificial Pricing Precision, identificando oportunidades de ajuste para optimizar la rentabilidad.</t>
  </si>
  <si>
    <t>Herramienta Digital, Visor Pricing Precision - México</t>
  </si>
  <si>
    <t>AM02959</t>
  </si>
  <si>
    <t>S: Realización de cambios solicitados, no hay nada pendiente por desarrollar. Herramienta liberada.
N: Revisar con usuarios el uso de la herramienta.</t>
  </si>
  <si>
    <t xml:space="preserve">Analizar la información generada por TA para identificar oportunidades de Lento movimiento, mejorar y monitorear el inventario por localidad </t>
  </si>
  <si>
    <t>Aplicación Qliq 
Lento movimiento</t>
  </si>
  <si>
    <t>S:Se terminaron los desarrollos según los requerimientos y se realizaron pruebas. La herramienta fue liberada en producción dentro del dashboard GAP-Inventario Añejamiento
N: Despliegue por parte del negocio con usuarios</t>
  </si>
  <si>
    <t>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t>
  </si>
  <si>
    <t>Reporte de Dotaciones Negativas</t>
  </si>
  <si>
    <t>Aplicación terminada, actualmente se están corriendo ya pruebas piloto en algunas tiendas. Updat 28 octubre 2025 por Oscar Flores</t>
  </si>
  <si>
    <t>La digitalización del proceso elimina la dependencia de registros físicos y reduce errores en la consolidación de información, generando ahorro de tiempo y mayor precisión en el control operativo. Esta solución incrementa la productividad y contribuye a la optimización de costos asociados a la supervisión manual.</t>
  </si>
  <si>
    <t>Aplicación digital para registrar y gestionar las inasistencias del personal de vigilancia y limpieza en las localidades de Linde México, sustituyendo procesos manuales por un control digital centralizado.</t>
  </si>
  <si>
    <t>App for attendance tracking on security, cleaning and other services at stores</t>
  </si>
  <si>
    <t>Incluye comparativos automáticos, tendencias, gráficas, análisis</t>
  </si>
  <si>
    <t>Herramienta Digital, Visor, del desempeño diario de ventas de PGP, Incluye comparativos automáticos, tendencias, gráficas, análisis. (Re-evaluar herramienta de Digital Americas del Forecast Tool)</t>
  </si>
  <si>
    <t>Daily Sales Tracking</t>
  </si>
  <si>
    <t>Ya se tiene un tablero de Mermas, investigar si se utiliza o qué requiere para liberarse. Mariano sugiere realizar un VSM y partir de ahí las necesidades</t>
  </si>
  <si>
    <t>Revisar con el negocio</t>
  </si>
  <si>
    <t>Automático y Diario</t>
  </si>
  <si>
    <t>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"calculadora" de acuerdo al vol de producción.</t>
  </si>
  <si>
    <t>Automatización de la Medición de las mermas de Gases en Plantas</t>
  </si>
  <si>
    <t>El tablero de desviaciones en el alta de cilindros ya se liberó.</t>
  </si>
  <si>
    <t>S: Se liberó el primer tablero y se identificó la necesidad de mejorar la calidad de datos. Para tener efectividad en el resto de los tableros dependemos del % de escaneo
N: Es neCésario mejorar la calidad de datos para que la información sea confiable.</t>
  </si>
  <si>
    <t>Se enfoca en el desarrollo de una serie de tableros de las 5 desviaciones operativas principales con la información generada por TA</t>
  </si>
  <si>
    <t>Trackabout Value Streams. Tablero Desviaciones Operativas</t>
  </si>
  <si>
    <t>S: Información cargada en Nitro lista para su uso y liberación
N: CSC tiene nueva opción de usar herramienta De Atento con mayor funcionalidad.</t>
  </si>
  <si>
    <t>Asistente virtual de consulta de agentes del CSC para brindar respuestas e información a pacientes de Medigas. Haciendo mas confiable y rápida la respuesta</t>
  </si>
  <si>
    <t>Nitro for CSC</t>
  </si>
  <si>
    <t>A1</t>
  </si>
  <si>
    <t xml:space="preserve">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
N: Se genera vista para liberar a todos los ventas mostrador
</t>
  </si>
  <si>
    <t>Visor en Power BI para visualizar bitácoras pendiente de cerrar, el importe pendiente de cerrar, medición del tiempo de ciclo, la tendencia a través del tiempo, la vista calendario de lo pendiente y el tipo de recolección de efectivo</t>
  </si>
  <si>
    <t>Herramienta Digital para el analisis y seguimiento de Bitácoras de ingresos pendientes de cerrar</t>
  </si>
  <si>
    <t>AM03521</t>
  </si>
  <si>
    <t>Se agenda sesión con IT
30 /Junio : Concluido</t>
  </si>
  <si>
    <t>S: Mensualmente en GE existe un promedio de 120 facturas (1.4mmps) que no se timbran por error en datos fiscales, actualmente se obtiene reporte y se trabaja manualmente para identificarlas y tomar acciones.
Posibles Consecuencias para el negocio:
Denuncia ante SAT, multas, cierre de establecimiento, revocación de certificado. 
Se libera dentro del Scorecard daily visor de ordenes retenidas.</t>
  </si>
  <si>
    <t>Algoritmo inteligente que identifica los casos de facturas no timbradas para detonar acciones correctiva, mejorar el control de las transacciones y evitar sanciones</t>
  </si>
  <si>
    <t>Herramienta Digital para el análisis y seguimiento de facturas no timbradas con el error relacionado</t>
  </si>
  <si>
    <t>AM03523</t>
  </si>
  <si>
    <t>Proceso automático que tome los tickets de entrega de Trackabout de PGP de aumentos, disminuciones de dotaciones y los coloque en las carpetas por Num de cliente generados en Docusign</t>
  </si>
  <si>
    <t xml:space="preserve">BOT para integrar tickets de entrega Trackabout en CLM de Docusign
</t>
  </si>
  <si>
    <t>S: Se llevó a cabo la orquestación con JDE el dia 12 de julio. Proyecto terminado por Omar Acosta.</t>
  </si>
  <si>
    <t>Omar Acosta</t>
  </si>
  <si>
    <t>Potencia la satisfacción del paciente y la capacidad de respuesta del negocio, impulsando la innovación en la atención a pacientes de SAOS.</t>
  </si>
  <si>
    <t>Automatización integral del flujo de servicios iniciales para pacientes con SAOS, abarcando desde la gestión del servicio inicial hasta la entrega de consumibles, asignación de equipo y servicio final. La solución digitaliza y conecta cada etapa del proceso, garantizando trazabilidad, reducción de tiempos y una experiencia más eficiente para el paciente y el área operativa.</t>
  </si>
  <si>
    <t>Automatización  de alta de servicios  iniciales SAOS</t>
  </si>
  <si>
    <t>E3</t>
  </si>
  <si>
    <t>Cybersecurity</t>
  </si>
  <si>
    <t>S: Solución en proceso, se espera poner en producción finales de octubre y su estabilización en Noviembre 2025.</t>
  </si>
  <si>
    <t>Leonel Lopez</t>
  </si>
  <si>
    <t>El cambio a RoadNet Cloud elimina las limitaciones del entorno on-premise, reduciendo costos de mantenimiento y riesgos asociados a infraestructura física. La solución en la nube ofrece actualizaciones automáticas, mayor estabilidad y herramientas avanzadas para optimizar rutas, mejorar la eficiencia operativa y reducir tiempos de entrega. Además, incrementa la capacidad de análisis en tiempo real, favorece la toma de decisiones estratégicas y fortalece la continuidad del negocio.</t>
  </si>
  <si>
    <t>Migración de la plataforma RoadNet Enterprise a RoadNet Cloud, con el objetivo de modernizar la infraestructura tecnológica y aprovechar las capacidades avanzadas de la nube. Esta transición permitirá una gestión más ágil y segura de la planificación de rutas y distribución, garantizando disponibilidad, escalabilidad y acceso remoto para las operaciones logísticas.</t>
  </si>
  <si>
    <t>Roadnet Cloud</t>
  </si>
  <si>
    <t>A6</t>
  </si>
  <si>
    <t>Generar sesión con Oscar Flores para validar alcance de este proyecto.</t>
  </si>
  <si>
    <t>Este proceso hoy día se construye a Mano</t>
  </si>
  <si>
    <t>Herramienta Digital donde se obtenga el margen de rentabilidad automático con info de JDE de los HG´s por cliente/producto. Con comparativos básicos</t>
  </si>
  <si>
    <t>Módulo de Rentabilidad de Cliente/ Producto de Hardgoods</t>
  </si>
  <si>
    <t>Reducción de tiempo</t>
  </si>
  <si>
    <t>Se programa sesión con Oscar Flores el 5 de mayo para validar requerimientos</t>
  </si>
  <si>
    <t>S: Se revisa con usuario requerimiento y diselo del dashboard. Se obtiene en julio acceso a BD para los practicantes que van a realizar el desarrollo.
N: Desarrollo en Power BI.</t>
  </si>
  <si>
    <t xml:space="preserve">Herramienta para medir el desempeño en crecimiento de clientes por vendedor, Región y División. </t>
  </si>
  <si>
    <t>Visor para medir el desempeño de la fuerza de ventas - Efectos</t>
  </si>
  <si>
    <t>Pendiente retomar</t>
  </si>
  <si>
    <t xml:space="preserve">1. Se migró el dashboard de tableau a power BI
2. Validación de pruebas
3. Apoyo en la integración del dashboard al proceso
4. Monitorear la implementación y uso del dashboard </t>
  </si>
  <si>
    <t xml:space="preserve">1. Reducción de costos por pagos de licenciamiento de tableau y reducir esfuerzos de Mtto y servidores o licencias separadas
</t>
  </si>
  <si>
    <t>1. Mayor adopción y facilidad de uso
2. Mejora la colaboración por su facilidad de compartirse e integrarse a flujos en teams o power automate
3. Simplificación tecnológica</t>
  </si>
  <si>
    <t>1. Incremento de precio extraordinario a cliente con bajo margen (revisar resultados en primer corrida) (Beneficios potenciales $15,000)</t>
  </si>
  <si>
    <t>1. Se programan sesiones de seguimiento de avances 1 vez a la semana, Sem 24 al 28 de feb
2. Al terminar la primer corrida de información y ver el potencial de clientes, se hará un plan de acción para modificar precios a manera de piloto.
3. Definir plan de despliegue con Gtes. comerciales - Nov 2205
4. Corregir fallas de la última corrida</t>
  </si>
  <si>
    <t>S: Ya se hizo el desarrollo, se encuentra en validación y pruebas
N: Terminar las pruebas y liberarlo est.. Mar25. 
Peniente el cálculo de beneficios.</t>
  </si>
  <si>
    <t>1. Integración nativa con el ecosistema Microsoft, especialmente dynamics, es columna vertebral del área comercial
2. Unificar herramientas de análisis
3. Seguridad y gobernanza unificados (Usa el mismo active directory / Azure AD que el resto del ecosistema Microsoft, facilita la gestión centralizada de los datos).
4. Ecosistema de automatización e inteligencia (Se integra con power automate para activar flujos automáticos, power apps, Copilot u Ai Insights para generar explicaciones y análisis automaticos )</t>
  </si>
  <si>
    <t>Replica en Power BI de una herramienta hecha originalmente en Tableau que permite calcular la rentabilidad por cliente / producto.  La visibilidad de está información con ese nivel de detalle,  permitirá  tomar decisiones de ajuste en  precios que incrementen la retabilidad el negocio PGP</t>
  </si>
  <si>
    <t xml:space="preserve">Dashboard del Cost to Serve. </t>
  </si>
  <si>
    <t xml:space="preserve">S:Este tablero se queda en Tableau dado que la corporación definió que sí se mantendran las licencias del mismo. Se realizaron ajustes y quedó terminado.
</t>
  </si>
  <si>
    <t>La actualización asegura la continuidad y precisión del tablero, evitando errores y mejorando la experiencia de análisis.</t>
  </si>
  <si>
    <t>Actualización del tablero en Tableau que muestra las entregas realizadas a pacientes Homecare, incluyendo recargas y otros servicios. El objetivo es mantener la herramienta optimizada y actualizada para garantizar la visualización completa y confiable de todas las operaciones de entrega.</t>
  </si>
  <si>
    <t>Update y revisión de Tablero "Homecare Delieveries"</t>
  </si>
  <si>
    <t>Productividad - Soft Savings $106.5 K USD,  Hard Savings $15 K USD (conversión digital de pedidos cliente sobre pedido)</t>
  </si>
  <si>
    <t>S: Terminado
N: En proceso despliegue interno y externo.</t>
  </si>
  <si>
    <t>Tania Castorena</t>
  </si>
  <si>
    <t>Adriana Loredo / Jessica Zanella</t>
  </si>
  <si>
    <t>IT Corporativo</t>
  </si>
  <si>
    <t>Fortalece la relación con el cliente al ofrecer una experiencia más ágil, segura y transparente al consultar su información en el echannel.</t>
  </si>
  <si>
    <t>Rediseño del módulo de bulk y microbulk en el eChannel para ofrecer a los clientes acceso directo a facturación, estados de cuenta, históricos de consumo, niveles de tanques y gestión de pedidos. La solución integra funcionalidades para clientes de bulk, microbulk y mixtos, mejorando la experiencia digital y la visibilidad de la información crítica.</t>
  </si>
  <si>
    <t>Rediseño del Módulo Bulk &amp; Microbulk en el eChannel</t>
  </si>
  <si>
    <t>E6</t>
  </si>
  <si>
    <t>Falta la integración al CRM como una segunda etapa.</t>
  </si>
  <si>
    <t>S: Se finaliza y en un proyecto posterior se integrará al CRM.
N: En un siguiente proyecto se desarrollará la integración con CRM e integrar al equipo de T. Digital, Edgar Madrigal, Ruben Gonzalez y Cindy Lozano</t>
  </si>
  <si>
    <t>La solución genera mayor eficiencia en la revisión de contratos, reducción de errores, ahorro de tiempo en la detección de oportunidades y mejora en la toma de decisiones estratégicas.</t>
  </si>
  <si>
    <t>Implementación de Argus como herramienta para la gestión de contratos de clientes, alimentando la plataforma con los documentos para generar tablas e información organizada bajo formatos predefinidos. El objetivo es facilitar la identificación de oportunidades de cobro y ajustes contractuales, optimizando la visibilidad y el control sobre las condiciones pactadas.</t>
  </si>
  <si>
    <t>Argus for Customer Contracts</t>
  </si>
  <si>
    <t>GPG34734</t>
  </si>
  <si>
    <t>G7</t>
  </si>
  <si>
    <t xml:space="preserve"> El plan es usar el pricing precisión en la sig campaña (junio-julio 25)</t>
  </si>
  <si>
    <t>S: terminada primera etapa del modelo. Se planea utilizarlo en la campaña de precios de junio/julio 2025.</t>
  </si>
  <si>
    <t>Este modelo sustituye análisis manuales y procesos reactivos por una herramienta inteligente que anticipa oportunidades de ajuste de precios, incrementando la rentabilidad y asegurando coherencia en la política comercial. La automatización reduce errores, agiliza la toma de decisiones y permite aplicar incrementos de forma precisa y consistente.</t>
  </si>
  <si>
    <t>Implementación del modelo Pricing Precision – México, basado en inteligencia artificial, para analizar precios de clientes considerando variables como producto, región, volumen y tipo de cliente. La solución identifica oportunidades de incremento de manera automática y las gestiona mediante la herramienta PRICE TAG, optimizando la estrategia comercial con base en datos predictivos.</t>
  </si>
  <si>
    <t>Pricing Precision con IA (Pricing Precision - Mexico)</t>
  </si>
  <si>
    <t>G10</t>
  </si>
  <si>
    <t>Se está trabajando con requerimientos adicionales para que pueda usarse en el negocio</t>
  </si>
  <si>
    <t>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t>
  </si>
  <si>
    <t>Ofrece datos precisos y en tiempo real para optimizar la planificación de rutas, mejorar la seguridad en la carga y descarga, y garantizar el cumplimiento de estándares operativos, así como el control de rutas de distribución.</t>
  </si>
  <si>
    <t>Generación de un reporte detallado sobre el uso de rampas en las unidades de distribución, utilizando datos provenientes de la plataforma Mix Telematics. El informe permitirá analizar la frecuencia, duración y condiciones de uso, proporcionando visibilidad sobre la operación y facilitando la identificación de áreas de mejora en seguridad y eficiencia.</t>
  </si>
  <si>
    <t>Use of vehicle ramps at unauthorized stops - Distribution</t>
  </si>
  <si>
    <t>G3</t>
  </si>
  <si>
    <t>Adalberto Mejía</t>
  </si>
  <si>
    <t>Visor digital que automatice la generación de información de ventas generada por contribución del area de Mkt y desarrollo de Mercado. Power BI</t>
  </si>
  <si>
    <t>Visor de crecimiento de ventas por MKT / PSO / Otros (Industriales- Met Fab)</t>
  </si>
  <si>
    <t>S: Actualmente ya se liberó la Tienda Medigas y también la tienda de Envasados. Update oct 27, 2025 por Cindy Lozano.</t>
  </si>
  <si>
    <t>La actualización reduce significativamente las oportunidades de ciberataques, evitando interrupciones en el servicio y pérdidas económicas. Además, mejora la estabilidad del sistema, incrementa la confianza del cliente en la plataforma y asegura el cumplimiento de normativas de seguridad digital. Esto se traduce en mayor protección de datos, reducción de riesgos, optimización del tiempo de respuesta ante incidentes y una experiencia de compra más confiable y eficiente.</t>
  </si>
  <si>
    <t xml:space="preserve">Actualización de la plataforma de e-Commerce basada en Prestashop a su última versión, con el objetivo de fortalecer la seguridad y minimizar vulnerabilidades frente a riesgos cibernéticos. Esta mejora garantiza compatibilidad con los estándares más recientes, optimiza el rendimiento y asegura la continuidad operativa bajo prácticas seguras.
</t>
  </si>
  <si>
    <t>E-commerce Linde &amp; Medigas Stores cibersecurity updated</t>
  </si>
  <si>
    <t>E4</t>
  </si>
  <si>
    <t>S: Desarrollo terminado, en etapa de estabilización previo al Go Live.</t>
  </si>
  <si>
    <t>La solución simplifica la administración de credenciales y reduce riesgos asociados a accesos no controlados. Esto se traduce en mayor seguridad, cumplimiento normativo, reducción de incidencias operativas y ahorro de tiempo en la gestión de usuarios. Además, mejora la experiencia del cliente con autenticación unificada,</t>
  </si>
  <si>
    <t>Integración de Azure B2C para unificar la gestión de cuentas de usuarios en todos los canales digitales de Linde: portales web, plataforma de recarga en línea y aplicaciones móviles. Esta implementación permitirá ofrecer un inicio de sesión único y seguro, mejorando la experiencia del usuario y garantizando la protección de datos bajo estándares modernos de identidad.</t>
  </si>
  <si>
    <t>Implementación Azure B2C para estandarización de cuentas de usuarios en canales digitales</t>
  </si>
  <si>
    <t>A3</t>
  </si>
  <si>
    <t>Se revisó con Adalberto Mejía estatus y se identifica la necesidad de depurar datos de contacto (e-mails) con perfil de dueños de empresa y tomadores de decisiones. Sesión De Adalberto con Tania Castorena semana del 2 de Mayo para revisar estatus</t>
  </si>
  <si>
    <t>S: Liberada y funcionando con campaña actual. Promoción del COBOT. 27Ene25. 2600 correos que generaron 30 leads interesados en una prueba.
N: Seguimiento a la campaña actual y diseño de nuevas campañas</t>
  </si>
  <si>
    <t>Externo</t>
  </si>
  <si>
    <t>Jorge Villarreal</t>
  </si>
  <si>
    <t>Envío de correos automáticos a grupos de clientes en función del cumplimiento de criterios predefinidos, para generar clientes potenciales de Ventas Nuevas.</t>
  </si>
  <si>
    <t>Email automation Customer Insight / AI</t>
  </si>
  <si>
    <t>GPG33156</t>
  </si>
  <si>
    <t>E5</t>
  </si>
  <si>
    <t>1. Validar la funcionalidad del proceso de segmentación
2. Buscar cómo replicar el proceso para el resto de las Regiones
3. Definir requerimientos para la automatización del proceso 100% automático.</t>
  </si>
  <si>
    <t>Time reduction : 24 horas / Trimestre</t>
  </si>
  <si>
    <t>1. Sesión para revisar el alcance del avance en CRM y definir cómo se puede replicar para el Centro
2. Tocar base con Gonzalo y Paco porque hay cambio en el alcance de la implementación del CIAC
Cómo siguientes pasos:
1. Explorar cómo replicar para el resto de las Regiones
2. Retomar la iniciativa de automatización completa del proceso</t>
  </si>
  <si>
    <t>S:Se desarrolló en CRM tablas con los cuestionarios para capturar la información y mediante un reporte combinando calcular los valores de cada segmento al que corresponden los clientes. Actualmente se está utilizando en CIAC Norte
N: Replicar a Centro y otras divisiones</t>
  </si>
  <si>
    <t>Aydee Treviño / Ana Treviño</t>
  </si>
  <si>
    <t>1. El proceso antes era 100% Manual, tomaba aproximadamente 1 semana tener la lista de clientes revisados y segmentados dado que se esperaba a que el vendedor hiciera el análisis por cliente.
2. La evaluación de los clientes era 100% cualitativa y dependia de la sensibilidad de los vendedores 
3. Trazabilidad automática, reducción de errores.
4. Mejor asignación de esfuerzos comerciales y enfoque en clientes con alto potencial de crecimiento.</t>
  </si>
  <si>
    <t>Se desarrolla un modulo, capaz de capturar información de los criterios con base en el resgitro de interacciones en CRM, además de una pantalla de captura a través de un cuestionario para ventas.  A partir de este modulo o pantalla de captura se gestiona la información de los clientes de PGP según los criterios de comportamiento y a través de un dashboard en Power BI se sugiere una segmentación.</t>
  </si>
  <si>
    <t>Segmentación de clientes CIAC - Norte</t>
  </si>
  <si>
    <t>E8</t>
  </si>
  <si>
    <t xml:space="preserve">Time Reduction
Mejora en el control </t>
  </si>
  <si>
    <t xml:space="preserve">1. Sesión de seguimiento con Gerardo y Erika para armar plan de trabajo y prioridad para la migración de los reportes semana </t>
  </si>
  <si>
    <t>S: Ya se tiene una versión actual, los cambios están en están en desarrollo, se ha dado prioridad a Homecare, después se dará prioridad al reporte GAP.
N: Terminar desarrollos, validar información y desplegar.</t>
  </si>
  <si>
    <t xml:space="preserve">Gustavo Primo </t>
  </si>
  <si>
    <t xml:space="preserve">Erika Acosta </t>
  </si>
  <si>
    <t xml:space="preserve">Migración de reportes de Tableau a power BI.
</t>
  </si>
  <si>
    <t>Reporte automático de recuperación y aumentos de dotación en power BI</t>
  </si>
  <si>
    <t>1. Seguimiento para concluir con el desarrollo
2. Estrategía de despliegue de la herramienta con el CIAC</t>
  </si>
  <si>
    <t>1. Sesión para validar siguientes pasos con el proceso, después de elaborado el reporte - Semana del 3 al 7 de marzo</t>
  </si>
  <si>
    <t>S:  Tablero terminado
N: Corrección de duplicidad de cilindros en TA. Pendiente Integración a CRM para que se generen tareas para una segunda etapa</t>
  </si>
  <si>
    <t xml:space="preserve">Tablero que permite identificar los cilindros que entregamos a los clientes y que no regresan a nuestras plantas en periodos de 30, 45, 60 días (Contador, identifica a clientes con lento movimiento para detonar acciones de recuperación o cobro automático. </t>
  </si>
  <si>
    <t>Trackabout Value Streams. Tablero Lento Movimiento</t>
  </si>
  <si>
    <t>AM03192</t>
  </si>
  <si>
    <t>1. Seguimiento y plan de implementación
2. 2026 : Se va a requerir evaluar la efectividad de la implementación y consolidar más el proceso</t>
  </si>
  <si>
    <t>1. Dar seguimiento en la semana del 24 al 28 de Feb, para validar la funcionalidad del ultimo requerimiento del filtro.
2. Junta en la semana del 20 al 28 de feb para aterrizar beneficios potenciales en conjunto con el BB (Edgar junto con José Ramon)
3. Confirmar que la herramienta está terminada y ahora hay que aprovecharla para detectar oportunidades. Sesión 4Mar25</t>
  </si>
  <si>
    <t>S:  Tablero terminado 
N: En proceso de identificar casos de desviaciones para tomar acción. En evaluación etapa de integración con CRM</t>
  </si>
  <si>
    <t>1. Esta información no se tenia disponible, de forma cuantitativa para tomar acción comercial</t>
  </si>
  <si>
    <t>Identificar todos los cilindros que nos regresan los clientes a los cuales no les entregué originalmente</t>
  </si>
  <si>
    <t>Trackabout Value Streams. Tablero Desviaciones comerciales</t>
  </si>
  <si>
    <t>AM03412</t>
  </si>
  <si>
    <t>Cost Reduction</t>
  </si>
  <si>
    <t>Seguimiento a desarrollo (proveedor externo), inició en ago-25, fecha estimada de terminación de desarrollo ene-26</t>
  </si>
  <si>
    <t>S: Se identifica la necesidad de desarrollador externo. Salvador cotizó 7.2KUSD mensual por 7 meses de desarrollo con Proveedor TCIS. Actualmente se encuentra en desarrollo por el proveedor externo, fecha estimada de terminación de desarrollo ene-26.
N: Revisar con Marco Pacheco Beneficios estimados del proyecto</t>
  </si>
  <si>
    <t>Jaime Hernández</t>
  </si>
  <si>
    <t>Desarrollo de un sistema que identifique producto en lento movimiento para transferencia a otras localidades e incrementar ventas.</t>
  </si>
  <si>
    <t>Sistema de resurtimiento en JDE de HG (RPS - POP)</t>
  </si>
  <si>
    <t>Liberación Diciembre 2025</t>
  </si>
  <si>
    <t>Compliance / Control
Reducción de horas hombre por traslados
Reducción de tiempo de ciclo del proceso de firma &lt; 24 horas</t>
  </si>
  <si>
    <t xml:space="preserve">USD $501 K
</t>
  </si>
  <si>
    <t xml:space="preserve">1. Concluir pruebas de campo con HH, está detenido hasta que la Corporación libere el uso de la HH y los permisos 
2. Se concluyo con la actualización de los números de Homecare
3. Se enviará la información a (No hay sugerencias) para la actualización de la propuesta económica /28 de feb 
4. Revisar plan de implementación con base en los números de transacciones actualizados
5. Se revisó con Alan la tabla de beneficios y se va actualizar, revisar números 26 de Feb
Nov 2025
1. Se está trabajando en el desarrollo de materiales de capacitación paralelo a las pruebas 
2. Se tiene listo el plan de implementación para salir en Diciembre con Monterrey
</t>
  </si>
  <si>
    <t>S: En proceso el Risk Assesment con Corporación por IT, se está re-evaluando la cantidad de plantillas y formatos del negocio de Medicinales neCésarios en la operación para ajustar cotización de OPEX. Inician pruebas y configuraciones en HH, 30 Ene.
N: Revisar resultados de las pruebas finales en HH de la aplicación. Ajustar Business Case con la información obtenida y validar el GO/No Go del proyecto
Nov 2025: en desarrollo y pruebas</t>
  </si>
  <si>
    <t>1. Proceso automático y trazable de los documentos firmados 
2. Repositorio centralizado unico y facil de ubicar los documentos cuando se requiera
3. Facilita los procesos de auditoria
4. Agiliza los procesos de gestión de documentos 
5. Seguridad de las transacciones y protección de datos 
6. Reduce la carga administrativa de la fuerza de ventas al eliminar los traslados físicos 
7.  Elimina la necesidad de actividades de gestión y administración de resguardo físíco de vendedores mostrador y lideres de tienda
8. Libera esapcio físíco y la necesidad de buscar tercerizar administración y espacio para el resguardo de documentos</t>
  </si>
  <si>
    <t xml:space="preserve">Proceso digital para la firma de documentos legales que soportan activos de Linde.
</t>
  </si>
  <si>
    <t>Firma Electrónica de documentos legales (Dotaciones, crédito)</t>
  </si>
  <si>
    <t xml:space="preserve">Armar plan de despliegue - Programar las sesiones de capacitación con Gtes 
Actualizar valores de target para rentas, con la Corporación  - completo
Desarrollar tablero para el tracking de beneficios con apoyo de la Corporación
Sesión para validar cómo conectarlo con CRM y programar tareas para ventas
</t>
  </si>
  <si>
    <t>S: Identificación de oportunidades de incremento del ingreso por cobro de rentas. Versión conectada a JDE México, con detalle de casos por vendedor. Liberado para identificar oportunidades de cobro
N: Se realiza presentación de la Htta y en proceso capacitaciones a personal</t>
  </si>
  <si>
    <t>Iván Arredondo/Lei Sun</t>
  </si>
  <si>
    <t>Oscar Flores / Alejandro Torres</t>
  </si>
  <si>
    <t>Herramienta para automatizar el cobro de rentas a clientes y dar seguimiento. (Etapa 1 Dashboard de datos)</t>
  </si>
  <si>
    <t>Rental &amp; Fees Tracking RPA/AI</t>
  </si>
  <si>
    <t>AM03524</t>
  </si>
  <si>
    <t>A5</t>
  </si>
  <si>
    <t>Mayela Ramírez confirma que el proyecto ya está terminado, inlusive los tableros que requiere. Lo que actualmente hace es tener un seguimiento con IT en caso de que algún tablero presente alguna falla.</t>
  </si>
  <si>
    <t>S: Modelo de datos liberado con el que se han podido construir 3 tableros de indicadores para Distribución.
N: Mantener el modelo y seguir construyendo herramientas basadas en el modelo construido</t>
  </si>
  <si>
    <t>Juan España y  proveedor externo</t>
  </si>
  <si>
    <t>Habilita análisis predictivos, incrementa la eficiencia en la planificación logística y contribuye al cumplimiento de objetivos estratégicos mediante datos precisos y en tiempo real.</t>
  </si>
  <si>
    <t>Creación de un Data Warehouse para centralizar y consolidar la información logística, permitiendo el cálculo y seguimiento de KPIs clave del área. La solución integrará datos provenientes de diferentes sistemas, asegurando consistencia, trazabilidad y disponibilidad para análisis avanzados y generación de reportes estratégicos.</t>
  </si>
  <si>
    <t>Datawarehouse  para KPIS logística</t>
  </si>
  <si>
    <t>E1</t>
  </si>
  <si>
    <t xml:space="preserve">Time reduction
Mejora en el control </t>
  </si>
  <si>
    <t xml:space="preserve">1. Sesión de seguimiento con Gerardo y Erika para armar plan de trabajo y prioridad para la migración de los reportes </t>
  </si>
  <si>
    <t>1. Visibilidad integral de los KPI´s de control de activos
2. Simplifica la gestión y da control visual e instantáneo des estado de los activos 
3. Velocidad para la toma de decisiones y llamados a la acción con información confiable y oportuna
4. Control general y granular con trazabilidad
5. El dashboard se convierte en una plataforma viva de gestión</t>
  </si>
  <si>
    <t>Aprovechar la migración de tableau a power BI de reportes clave de Control del cilindros para armar un reporte One Page</t>
  </si>
  <si>
    <t>Tablero One Page de indicadores para control de cilindros en Power BI</t>
  </si>
  <si>
    <t>Marina convoca a Fuerza comercial y CSC para comunicación 26 de Feb, Ctes. 27 de Feb.</t>
  </si>
  <si>
    <t>S: RPA terminado, liberado para Cedis Saltillo y Cedis VH,
N: Continuación de despliegue resto de localidades</t>
  </si>
  <si>
    <t>Automatización de proceso de notificación al cliente al momento de generar una transacción con Linde a su nombre.</t>
  </si>
  <si>
    <t>Notificaciones automáticas a Clientes. RPA/AI</t>
  </si>
  <si>
    <t>AM03136</t>
  </si>
  <si>
    <t>Seguimiento para concluir con el desarrollo</t>
  </si>
  <si>
    <t>1. Sesión para revisar alcance del reporte existente y levantar requerimientos - Semana del 3 al 7 de marzo</t>
  </si>
  <si>
    <t>S:  Tablero elaborado en validación (elaborado por Aldo Maldonado). Se está realizando limpieza de datos en TA.
N: Definir si el tablero actual cumple el objetivo, sino hacer los ajustes pertinentes. Validar la calidad de los datos en TA.</t>
  </si>
  <si>
    <t>Civoney Alvarez</t>
  </si>
  <si>
    <t>Herramienta de análisis de datos digital para identificar aquellos cilindros que NO estaban registrados en inventario de activos y gracias a Trackabout se recuperan.</t>
  </si>
  <si>
    <t xml:space="preserve">Trackabout Value Streams Dashboard. "Black Hole" </t>
  </si>
  <si>
    <t>Definir el proceso alrededor del proyecto, fraccionar entregables, levantamiento de necesidades y guiar al negocio para definir si sale o no la herramienta
2026: Guiarel proceso ár decidir liberar o customizar primero la herramienta antes de su Go Live</t>
  </si>
  <si>
    <t>1. Se realiza sesión con Jose Pinto y Lei en Mty 4 Abr25, se revisa con Yarizma y Jessica las acciones a tomar: Terminar de definir formato
2. Definir el flujo del proceso con la nueva herramienta y validar con Gtes.. Yarizma. 3Mar25 Pilar convoca sesión para revisar antes de la sesión con el resto del equipo
3. Gerardo proporciona guía básica de temas a definir por el negocio 26Feb25
4. Se requiere ratificar el proceso y definir el proceso por parte del negocio y logística, Luis Enrique Macario, Roxana Frutos. j. cotizaciones en zonas donde no hay cobertura.
5.  Solo esta pendiente la realización de pruebas por parte de ventas para liberar la herramienta,  30 jul 2025
6. La herramienta esta en las prubas finales por parte del área comercial, despues de las últimas correcciones, ya lista para liberar el mes de septiembre.  La liberación se retrasó por la realización del ABP de ventas, 30 ago 2025.</t>
  </si>
  <si>
    <t>S:  Se hicieron los ultimos ajustes por parte de la corporación y Yarizma esta trabajando en el formato final que se genera para la cotizacion. Se estima tenerlo listo para 11 de Abril
N: Una vez que se entregue el formato, la corporación (Lei) revisará integrar un flujo de aprobación de acuerdo a lo que requiere el negocio (Jessica definirá el flujo)
30 ago 2025 : Se libera la aplicación para cotizar mientras se desarrolla la caratula de autorización</t>
  </si>
  <si>
    <t>Uriel Torres/ Lei Sun</t>
  </si>
  <si>
    <t xml:space="preserve">Digital EEUU </t>
  </si>
  <si>
    <r>
      <rPr>
        <b/>
        <sz val="9"/>
        <rFont val="LindeDaxGlobal"/>
      </rPr>
      <t>Etapa 1:</t>
    </r>
    <r>
      <rPr>
        <sz val="9"/>
        <rFont val="LindeDaxGlobal"/>
      </rPr>
      <t xml:space="preserve"> Esta herramienta, basada en un desarrollo  de EEUU.  Facilita y agiliza la generación y envío automático de cotizaciones, además de generar datos que permiten monitorear el estatus, identificar tendencias y apoyar la toma dedecisiones oporrtunas.
</t>
    </r>
    <r>
      <rPr>
        <b/>
        <sz val="9"/>
        <rFont val="LindeDaxGlobal"/>
      </rPr>
      <t>Etapa 2</t>
    </r>
    <r>
      <rPr>
        <sz val="9"/>
        <rFont val="LindeDaxGlobal"/>
      </rPr>
      <t>: Desarrollo de la caratula de autorización de Gtes y VP´s para concluir con la automatización completa del proceso</t>
    </r>
  </si>
  <si>
    <t>Adecuar la herramienta en a la versión de EU para considerar cálculo de rentabilidad.
Esta herramienta permite guardar las cotizaciones realizadas y enviarlas de manera automática a clientes</t>
  </si>
  <si>
    <t>MB Quoting Tool</t>
  </si>
  <si>
    <t>1. Sesión de seguimiento con Gerardo y Erika para armar plan de trabajo y prioridad para la migración de los reportes semana 24 al 28 de feb</t>
  </si>
  <si>
    <t>S: Ya se tiene una versión actual, los cambios están en desarrollo, se ha dado prioridad a Homecare
N: Terminar desarrollos, validar información y desplegar. Revision final ultima semana de Mayo</t>
  </si>
  <si>
    <t xml:space="preserve">Gustavo Primo / Juan Romero </t>
  </si>
  <si>
    <t>Migración de reportes de Tableau a power BI.</t>
  </si>
  <si>
    <t>Cambio de reporte GAP / inventario de tableau a Power BI</t>
  </si>
  <si>
    <t>S: Ya liberado y funcionando.
N: Seguimiento por parte del negocio. Calcular beneficio y reportar $</t>
  </si>
  <si>
    <t>Ruben Monterrubio</t>
  </si>
  <si>
    <t>Nohemí Perez / 
Alan Mendoza</t>
  </si>
  <si>
    <t>Este desarrollo reemplaza la facturación manual por un flujo automatizado que reduce errores, acelera los tiempos de procesamiento y asegura la trazabilidad de cada transacción. La automatización incrementa la eficiencia operativa, optimiza recursos y mejora la confiabilidad del proceso,</t>
  </si>
  <si>
    <t>Automatización del proceso de facturación bajo el esquema Día Paciente para instituciones públicas en el negocio de Homecare, mediante tecnología RPA. La solución permitirá generar facturas de forma automática a partir de los datos del servicio, asegurando precisión y cumplimiento con los lineamientos contractuales y normativos.</t>
  </si>
  <si>
    <t>RPA de Facturación Dia paciente instituciones públicas.</t>
  </si>
  <si>
    <t>AM03224</t>
  </si>
  <si>
    <t>G9</t>
  </si>
  <si>
    <t>¿Cómo contribuimos con cada proyecto?</t>
  </si>
  <si>
    <t>Fase: Nuevo / Análisis / Desarrollo / Pruebas/ Implementado / Terminado</t>
  </si>
  <si>
    <t>Fin de Beneficios</t>
  </si>
  <si>
    <t>Arranque de Beneficios</t>
  </si>
  <si>
    <t>Beneficios Real YTD Reportados  Power Steering USD$</t>
  </si>
  <si>
    <t>Business Impact USD$ Soft Savings</t>
  </si>
  <si>
    <t>Business Impact (Time, Control, Compliance, Quality of data analysis, data security )</t>
  </si>
  <si>
    <t>Business Impact USD$
Costos</t>
  </si>
  <si>
    <t>Business Impact USD$
Growth / year
Estimated</t>
  </si>
  <si>
    <t>Acciones a ejecutar para Acelerar</t>
  </si>
  <si>
    <t>ESTATUS Y SIGUIENTES PASOS</t>
  </si>
  <si>
    <t>Puntaje Total</t>
  </si>
  <si>
    <t>Total Esfuerzo</t>
  </si>
  <si>
    <t>Alto (1)
Medio (3)
Bajo (5)</t>
  </si>
  <si>
    <t>Más de 3 meses(1) 
Entre 1 y 3 meses(3)
Menos de 1 mes (5)</t>
  </si>
  <si>
    <t>Alto (5)
Medio (3)
Bajo (1)</t>
  </si>
  <si>
    <t>Cambio, Menor &lt;= 40 hrs... de dsllo (5)
Cambio, Mayor &gt; 40 hrs. de dsllo (4)
Proyecto Menor  &lt; 160 hrs. (3)
Proyecto Mediano :  2-5 meses (2)
Proyecto Mayor &gt; 5 meses (1)</t>
  </si>
  <si>
    <t>No (5)
Si &lt; 5 KUSD (4)
Entre 5 y 20 KUSD (3)
Entre 20 y 100 KUSD (2)
Si &gt;100 KUSD (1)</t>
  </si>
  <si>
    <t xml:space="preserve">
Ninguna  (5)
1 (4)
De 2 a 5 (3)
&gt; 5  (1)</t>
  </si>
  <si>
    <t>Total Valor</t>
  </si>
  <si>
    <t xml:space="preserve">
Nlatam(5)
Nacional (3)
Local (1)
No (0)</t>
  </si>
  <si>
    <t>Transformación (5)
Mejora completa (3)
Mejora parcial (1)
Ninguno (0)</t>
  </si>
  <si>
    <t>Alto (5) &gt;300 KUSD
Medio Alto (4) entre 100 y 200KUSD
Medio (3) &gt;100 KUSD
Bajo (1) &lt;100 KUSD 
Ninguno (0) 0 KUSD</t>
  </si>
  <si>
    <t>Si (5)
Parcialmente (3)
No (1)</t>
  </si>
  <si>
    <t>&gt; 500 (5)
300 - 500 (4)
200 - 300 (3)
100  - 200 (2)
&lt; 100 (1)</t>
  </si>
  <si>
    <t>Si (5)
No (1)</t>
  </si>
  <si>
    <t>VP (5)
Director (4)
Gerente (3)
Supervisor (2)
Usuario (1)</t>
  </si>
  <si>
    <t>Área de Productividad</t>
  </si>
  <si>
    <t>Business Process Analyst</t>
  </si>
  <si>
    <t>¿Impacta a Gases Envasados?</t>
  </si>
  <si>
    <t>Dirección de Negocio 
del Usuario</t>
  </si>
  <si>
    <t>Black Belt Lead</t>
  </si>
  <si>
    <t>DTC Lead</t>
  </si>
  <si>
    <t>Líder o Solicitante</t>
  </si>
  <si>
    <t>Dueño del Proceso</t>
  </si>
  <si>
    <t>Citizen Developer / Creator</t>
  </si>
  <si>
    <t>Dependencias:
IT Local
T. Digital
Digitalización
SSC
Externo</t>
  </si>
  <si>
    <t>Tipo de Iniciativa</t>
  </si>
  <si>
    <t>Grupo Técnico Asignado</t>
  </si>
  <si>
    <t>Ingresada en PBOT</t>
  </si>
  <si>
    <t>Proceso de Negocio</t>
  </si>
  <si>
    <t>ESTATUS AL DÍA</t>
  </si>
  <si>
    <t>T. de Ciclo en días</t>
  </si>
  <si>
    <t>Fecha de Término / real o estimada</t>
  </si>
  <si>
    <t>Fecha Inicio</t>
  </si>
  <si>
    <t>Fecha de Registro</t>
  </si>
  <si>
    <t>Valor / Diferenciador</t>
  </si>
  <si>
    <t>Descripción</t>
  </si>
  <si>
    <t>Iniciativa</t>
  </si>
  <si>
    <t>Card ID DevOps</t>
  </si>
  <si>
    <t>ID Power Steering</t>
  </si>
  <si>
    <t>Ranking</t>
  </si>
  <si>
    <t>Previo</t>
  </si>
  <si>
    <t>Beneficios Estimados</t>
  </si>
  <si>
    <t>¿Qué tan compleja es la implementación? Complejidad del nuevo proceso o cantidad de recursos para implementar</t>
  </si>
  <si>
    <t>¿Qué tan compleja es la integración técnica de la(s) solución digital?</t>
  </si>
  <si>
    <t xml:space="preserve">¿Cuál es el Tiempo para implementar la solución? </t>
  </si>
  <si>
    <t>¿Cuál es la Calidad de datos y disponibilidad de la información?</t>
  </si>
  <si>
    <t>¿Cuál es el tiempo de desarrollo?</t>
  </si>
  <si>
    <t>¿Requiere CAPEX/Inversión?</t>
  </si>
  <si>
    <t>¿Requiere recursos externos para el desarrollo? Cantidad de personas</t>
  </si>
  <si>
    <t>¿Es replicable?</t>
  </si>
  <si>
    <t>¿Simplifica Procesos o mejora el Control?</t>
  </si>
  <si>
    <t>¿Cuál es el impacto en beneficios duros anuales, Ventas Incrementales o el costo el riesgo?</t>
  </si>
  <si>
    <t>Alineado a Objetivos / Estrategia</t>
  </si>
  <si>
    <t>¿A cuántas personas /clientes impacta?</t>
  </si>
  <si>
    <t>¿Tiene un sponsor o dueño?</t>
  </si>
  <si>
    <t>¿En que nivel es detonada la necesidad?</t>
  </si>
  <si>
    <t>Días</t>
  </si>
  <si>
    <t xml:space="preserve">CT </t>
  </si>
  <si>
    <t>On going Practicantes</t>
  </si>
  <si>
    <t>Potenciales para Practicantes</t>
  </si>
  <si>
    <t>Ponderación</t>
  </si>
  <si>
    <t>Esfuerzo</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</si>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</sst>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4" formatCode="_-&quot;$&quot;* #,##0.00_-;\-&quot;$&quot;* #,##0.00_-;_-&quot;$&quot;* &quot;-&quot;??_-;_-@_-"/>
    <numFmt numFmtId="164" formatCode="_-&quot;$&quot;* #,##0_-;\-&quot;$&quot;* #,##0_-;_-&quot;$&quot;* &quot;-&quot;??_-;_-@_-"/>
  </numFmts>
  <fonts count="37">
    <font>
      <sz val="12"/>
      <color theme="1"/>
      <name val="Aptos Narrow"/>
      <family val="2"/>
      <scheme val="minor"/>
    </font>
    <font>
      <sz val="11"/>
      <color theme="1"/>
      <name val="Aptos Narrow"/>
      <family val="2"/>
      <scheme val="minor"/>
    </font>
    <font>
      <sz val="9"/>
      <color theme="1"/>
      <name val="LindeDaxGlobal"/>
    </font>
    <font>
      <sz val="9"/>
      <name val="LindeDaxGlobal"/>
    </font>
    <font>
      <sz val="12"/>
      <name val="LindeDaxGlobal"/>
    </font>
    <font>
      <sz val="9"/>
      <color rgb="FF000000"/>
      <name val="LindeDaxGlobal"/>
    </font>
    <font>
      <sz val="9"/>
      <color rgb="FF6D727D"/>
      <name val="LindeDaxGlobal"/>
    </font>
    <font>
      <sz val="10"/>
      <name val="LindeDaxOffice"/>
      <family val="2"/>
    </font>
    <font>
      <sz val="10"/>
      <color theme="1"/>
      <name val="LindeDaxOffice"/>
    </font>
    <font>
      <sz val="10"/>
      <name val="LindeDaxOffice"/>
    </font>
    <font>
      <sz val="10"/>
      <name val="LindeDaxGlobal"/>
    </font>
    <font>
      <b/>
      <sz val="9"/>
      <color theme="1"/>
      <name val="LindeDaxGlobal"/>
    </font>
    <font>
      <sz val="9"/>
      <color rgb="FFFF0000"/>
      <name val="LindeDaxGlobal"/>
    </font>
    <font>
      <sz val="9"/>
      <color theme="0"/>
      <name val="LindeDaxGlobal"/>
    </font>
    <font>
      <u/>
      <sz val="9"/>
      <color theme="1"/>
      <name val="LindeDaxGlobal"/>
    </font>
    <font>
      <sz val="10"/>
      <color theme="1"/>
      <name val="LindeDaxOffice"/>
      <family val="2"/>
    </font>
    <font>
      <sz val="10"/>
      <color rgb="FF6D727D"/>
      <name val="LindeDaxGlobal"/>
    </font>
    <font>
      <sz val="10"/>
      <color theme="1"/>
      <name val="LindeDaxGlobal"/>
    </font>
    <font>
      <sz val="10"/>
      <color rgb="FF000000"/>
      <name val="LindeDaxGlobal"/>
    </font>
    <font>
      <sz val="11"/>
      <name val="Aptos Narrow"/>
      <family val="2"/>
      <scheme val="minor"/>
    </font>
    <font>
      <sz val="9"/>
      <color theme="8"/>
      <name val="LindeDaxGlobal"/>
    </font>
    <font>
      <sz val="9"/>
      <color rgb="FF0070C0"/>
      <name val="LindeDaxGlobal"/>
    </font>
    <font>
      <b/>
      <sz val="9"/>
      <name val="LindeDaxGlobal"/>
    </font>
    <font>
      <b/>
      <sz val="10"/>
      <color rgb="FFFFFFFF"/>
      <name val="LindeDaxGlobal"/>
    </font>
    <font>
      <b/>
      <sz val="11"/>
      <color theme="1"/>
      <name val="LindeDaxGlobal"/>
    </font>
    <font>
      <b/>
      <sz val="12"/>
      <color rgb="FFFFFFFF"/>
      <name val="LindeDaxGlobal"/>
    </font>
    <font>
      <b/>
      <sz val="11"/>
      <color rgb="FFFFFFFF"/>
      <name val="LindeDaxGlobal"/>
    </font>
    <font>
      <b/>
      <sz val="9"/>
      <color rgb="FFFFFFFF"/>
      <name val="LindeDaxGlobal"/>
    </font>
    <font>
      <b/>
      <sz val="16"/>
      <color rgb="FFFFFFFF"/>
      <name val="LindeDaxGlobal"/>
    </font>
    <font>
      <sz val="16"/>
      <color theme="1"/>
      <name val="LindeDaxGlobal"/>
    </font>
    <font>
      <sz val="11"/>
      <color theme="1"/>
      <name val="LindeDaxGlobal"/>
    </font>
    <font>
      <sz val="16"/>
      <name val="LindeDaxGlobal"/>
    </font>
    <font>
      <sz val="18"/>
      <color theme="1"/>
      <name val="LindeDaxGlobal"/>
    </font>
    <font>
      <sz val="22"/>
      <color theme="1"/>
      <name val="LindeDaxGlobal"/>
    </font>
    <font>
      <b/>
      <sz val="9"/>
      <color theme="0"/>
      <name val="LindeDaxGlobal"/>
    </font>
    <font>
      <b/>
      <sz val="9"/>
      <color indexed="81"/>
      <name val="Tahoma"/>
      <family val="2"/>
    </font>
    <font>
      <sz val="9"/>
      <color indexed="81"/>
      <name val="Tahoma"/>
      <family val="2"/>
    </font>
  </fonts>
  <fills count="2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CC99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rgb="FF7030A0"/>
        <bgColor indexed="64"/>
      </patternFill>
    </fill>
    <fill>
      <patternFill patternType="solid">
        <fgColor rgb="FFEC70DA"/>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4D88B2"/>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theme="1"/>
        <bgColor indexed="64"/>
      </patternFill>
    </fill>
    <fill>
      <patternFill patternType="solid">
        <fgColor theme="4" tint="0.59999389629810485"/>
        <bgColor indexed="64"/>
      </patternFill>
    </fill>
    <fill>
      <patternFill patternType="solid">
        <fgColor rgb="FF002060"/>
        <bgColor indexed="64"/>
      </patternFill>
    </fill>
  </fills>
  <borders count="17">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medium">
        <color rgb="FFFFFFFF"/>
      </top>
      <bottom/>
      <diagonal/>
    </border>
    <border>
      <left style="medium">
        <color rgb="FFFFFFFF"/>
      </left>
      <right style="medium">
        <color rgb="FFFFFFFF"/>
      </right>
      <top style="medium">
        <color rgb="FFFFFFFF"/>
      </top>
      <bottom/>
      <diagonal/>
    </border>
    <border>
      <left style="thin">
        <color indexed="64"/>
      </left>
      <right/>
      <top style="thin">
        <color indexed="64"/>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indexed="64"/>
      </bottom>
      <diagonal/>
    </border>
    <border>
      <left style="thin">
        <color indexed="64"/>
      </left>
      <right/>
      <top/>
      <bottom/>
      <diagonal/>
    </border>
  </borders>
  <cellStyleXfs count="4">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269">
    <xf numFmtId="0" fontId="0" fillId="0" borderId="0" xfId="0"/>
    <xf numFmtId="0" fontId="2" fillId="2" borderId="0" xfId="1" applyFont="1" applyFill="1"/>
    <xf numFmtId="0" fontId="2" fillId="2" borderId="0" xfId="1" applyFont="1" applyFill="1" applyAlignment="1">
      <alignment horizontal="center"/>
    </xf>
    <xf numFmtId="0" fontId="2" fillId="0" borderId="0" xfId="1" applyFont="1" applyAlignment="1">
      <alignment horizontal="center"/>
    </xf>
    <xf numFmtId="164" fontId="2" fillId="0" borderId="0" xfId="2" applyNumberFormat="1" applyFont="1" applyAlignment="1">
      <alignment horizontal="center" vertical="center"/>
    </xf>
    <xf numFmtId="0" fontId="2" fillId="2" borderId="0" xfId="1" applyFont="1" applyFill="1" applyAlignment="1">
      <alignment horizontal="left" vertical="center" wrapText="1"/>
    </xf>
    <xf numFmtId="0" fontId="2" fillId="2" borderId="0" xfId="1" applyFont="1" applyFill="1" applyAlignment="1">
      <alignment horizontal="left" wrapText="1"/>
    </xf>
    <xf numFmtId="0" fontId="2" fillId="0" borderId="0" xfId="1" applyFont="1" applyAlignment="1">
      <alignment horizontal="center" vertical="center"/>
    </xf>
    <xf numFmtId="0" fontId="2" fillId="0" borderId="1" xfId="1" applyFont="1" applyBorder="1" applyAlignment="1">
      <alignment horizontal="center" vertical="center"/>
    </xf>
    <xf numFmtId="0" fontId="2" fillId="0" borderId="0" xfId="1" applyFont="1" applyAlignment="1">
      <alignment horizontal="center" wrapText="1"/>
    </xf>
    <xf numFmtId="0" fontId="3" fillId="0" borderId="0" xfId="1" applyFont="1" applyAlignment="1">
      <alignment horizontal="center" vertical="center"/>
    </xf>
    <xf numFmtId="0" fontId="2" fillId="2" borderId="0" xfId="1" applyFont="1" applyFill="1" applyAlignment="1">
      <alignment horizontal="center" vertical="center"/>
    </xf>
    <xf numFmtId="0" fontId="3" fillId="0" borderId="0" xfId="1" applyFont="1" applyAlignment="1">
      <alignment wrapText="1"/>
    </xf>
    <xf numFmtId="0" fontId="3" fillId="0" borderId="0" xfId="1" applyFont="1" applyAlignment="1">
      <alignment horizontal="left" vertical="center" wrapText="1"/>
    </xf>
    <xf numFmtId="0" fontId="4" fillId="0" borderId="0" xfId="1" applyFont="1" applyAlignment="1">
      <alignment wrapText="1"/>
    </xf>
    <xf numFmtId="0" fontId="2" fillId="0" borderId="0" xfId="1" applyFont="1" applyAlignment="1">
      <alignment horizontal="left" vertical="center"/>
    </xf>
    <xf numFmtId="0" fontId="2" fillId="2" borderId="2" xfId="1" applyFont="1" applyFill="1" applyBorder="1" applyAlignment="1">
      <alignment horizontal="center" vertical="center"/>
    </xf>
    <xf numFmtId="0" fontId="2" fillId="0" borderId="2" xfId="1" applyFont="1" applyBorder="1" applyAlignment="1">
      <alignment horizontal="center" vertical="center" wrapText="1" readingOrder="1"/>
    </xf>
    <xf numFmtId="164" fontId="2" fillId="0" borderId="2" xfId="2" applyNumberFormat="1" applyFont="1" applyBorder="1" applyAlignment="1">
      <alignment horizontal="center" vertical="center" wrapText="1"/>
    </xf>
    <xf numFmtId="0" fontId="2" fillId="2" borderId="3" xfId="1" applyFont="1" applyFill="1" applyBorder="1" applyAlignment="1">
      <alignment horizontal="left" vertical="center" wrapText="1"/>
    </xf>
    <xf numFmtId="0" fontId="2" fillId="2" borderId="2" xfId="1" applyFont="1" applyFill="1" applyBorder="1" applyAlignment="1">
      <alignment horizontal="left" vertical="center" wrapText="1"/>
    </xf>
    <xf numFmtId="0" fontId="2" fillId="0" borderId="2" xfId="1" applyFont="1" applyBorder="1" applyAlignment="1">
      <alignment horizontal="center" vertical="center"/>
    </xf>
    <xf numFmtId="0" fontId="5" fillId="0" borderId="2" xfId="1" applyFont="1" applyBorder="1" applyAlignment="1">
      <alignment horizontal="center" vertical="center" wrapText="1" readingOrder="1"/>
    </xf>
    <xf numFmtId="0" fontId="2" fillId="0" borderId="2" xfId="1" applyFont="1" applyBorder="1" applyAlignment="1">
      <alignment horizontal="center" vertical="center" wrapText="1"/>
    </xf>
    <xf numFmtId="0" fontId="2" fillId="0" borderId="4" xfId="1" applyFont="1" applyBorder="1" applyAlignment="1">
      <alignment horizontal="center" vertical="center"/>
    </xf>
    <xf numFmtId="0" fontId="3" fillId="0" borderId="2" xfId="1" applyFont="1" applyBorder="1" applyAlignment="1">
      <alignment horizontal="center" vertical="center"/>
    </xf>
    <xf numFmtId="0" fontId="3" fillId="0" borderId="2" xfId="1" applyFont="1" applyBorder="1" applyAlignment="1">
      <alignment horizontal="center" vertical="center" wrapText="1" readingOrder="1"/>
    </xf>
    <xf numFmtId="0" fontId="6" fillId="0" borderId="5" xfId="3" applyNumberFormat="1" applyFont="1" applyBorder="1" applyAlignment="1">
      <alignment horizontal="center" vertical="center" wrapText="1" readingOrder="1"/>
    </xf>
    <xf numFmtId="0" fontId="2" fillId="0" borderId="5" xfId="1" applyFont="1" applyBorder="1" applyAlignment="1">
      <alignment horizontal="center" vertical="center" wrapText="1" readingOrder="1"/>
    </xf>
    <xf numFmtId="17" fontId="6" fillId="0" borderId="2" xfId="1" applyNumberFormat="1" applyFont="1" applyBorder="1" applyAlignment="1">
      <alignment horizontal="center" vertical="center" wrapText="1" readingOrder="1"/>
    </xf>
    <xf numFmtId="0" fontId="3" fillId="0" borderId="2" xfId="1" applyFont="1" applyBorder="1" applyAlignment="1">
      <alignment horizontal="left" vertical="center" wrapText="1"/>
    </xf>
    <xf numFmtId="0" fontId="4" fillId="0" borderId="2" xfId="1" applyFont="1" applyBorder="1" applyAlignment="1">
      <alignment horizontal="left" vertical="center" wrapText="1"/>
    </xf>
    <xf numFmtId="0" fontId="2" fillId="0" borderId="2" xfId="1" applyFont="1" applyBorder="1" applyAlignment="1">
      <alignment horizontal="left" vertical="center"/>
    </xf>
    <xf numFmtId="0" fontId="2" fillId="2" borderId="5" xfId="1" applyFont="1" applyFill="1" applyBorder="1" applyAlignment="1">
      <alignment horizontal="center" vertical="center"/>
    </xf>
    <xf numFmtId="164" fontId="2" fillId="0" borderId="5" xfId="2" applyNumberFormat="1" applyFont="1" applyBorder="1" applyAlignment="1">
      <alignment horizontal="center" vertical="center" wrapText="1"/>
    </xf>
    <xf numFmtId="0" fontId="2" fillId="2" borderId="6" xfId="1" applyFont="1" applyFill="1" applyBorder="1" applyAlignment="1">
      <alignment horizontal="left" vertical="center" wrapText="1"/>
    </xf>
    <xf numFmtId="0" fontId="2" fillId="2" borderId="5" xfId="1" applyFont="1" applyFill="1" applyBorder="1" applyAlignment="1">
      <alignment horizontal="left" vertical="center" wrapText="1"/>
    </xf>
    <xf numFmtId="0" fontId="2" fillId="0" borderId="5" xfId="1" applyFont="1" applyBorder="1" applyAlignment="1">
      <alignment horizontal="center" vertical="center"/>
    </xf>
    <xf numFmtId="0" fontId="5" fillId="0" borderId="5" xfId="1" applyFont="1" applyBorder="1" applyAlignment="1">
      <alignment horizontal="center" vertical="center" wrapText="1" readingOrder="1"/>
    </xf>
    <xf numFmtId="0" fontId="2" fillId="0" borderId="5" xfId="1" applyFont="1" applyBorder="1" applyAlignment="1">
      <alignment horizontal="center" vertical="center" wrapText="1"/>
    </xf>
    <xf numFmtId="0" fontId="2" fillId="0" borderId="7" xfId="1" applyFont="1" applyBorder="1" applyAlignment="1">
      <alignment horizontal="center" vertical="center"/>
    </xf>
    <xf numFmtId="0" fontId="3" fillId="0" borderId="5" xfId="1" applyFont="1" applyBorder="1" applyAlignment="1">
      <alignment horizontal="center" vertical="center"/>
    </xf>
    <xf numFmtId="0" fontId="3" fillId="0" borderId="5" xfId="1" applyFont="1" applyBorder="1" applyAlignment="1">
      <alignment horizontal="center" vertical="center" wrapText="1" readingOrder="1"/>
    </xf>
    <xf numFmtId="17" fontId="6" fillId="0" borderId="5" xfId="1" applyNumberFormat="1" applyFont="1" applyBorder="1" applyAlignment="1">
      <alignment horizontal="center" vertical="center" wrapText="1" readingOrder="1"/>
    </xf>
    <xf numFmtId="0" fontId="3" fillId="0" borderId="5" xfId="1" applyFont="1" applyBorder="1" applyAlignment="1">
      <alignment horizontal="left" vertical="center" wrapText="1"/>
    </xf>
    <xf numFmtId="0" fontId="4" fillId="0" borderId="5" xfId="1" applyFont="1" applyBorder="1" applyAlignment="1">
      <alignment horizontal="left" vertical="center" wrapText="1"/>
    </xf>
    <xf numFmtId="0" fontId="2" fillId="0" borderId="5" xfId="1" applyFont="1" applyBorder="1" applyAlignment="1">
      <alignment horizontal="left" vertical="center"/>
    </xf>
    <xf numFmtId="0" fontId="6" fillId="0" borderId="2" xfId="3" applyNumberFormat="1" applyFont="1" applyBorder="1" applyAlignment="1">
      <alignment horizontal="center" vertical="center" wrapText="1" readingOrder="1"/>
    </xf>
    <xf numFmtId="0" fontId="2" fillId="2" borderId="2" xfId="1" applyFont="1" applyFill="1" applyBorder="1"/>
    <xf numFmtId="0" fontId="2" fillId="2" borderId="3" xfId="1" applyFont="1" applyFill="1" applyBorder="1"/>
    <xf numFmtId="0" fontId="2" fillId="2" borderId="0" xfId="1" applyFont="1" applyFill="1" applyAlignment="1">
      <alignment vertical="center"/>
    </xf>
    <xf numFmtId="0" fontId="2" fillId="2" borderId="2" xfId="1" applyFont="1" applyFill="1" applyBorder="1" applyAlignment="1">
      <alignment vertical="center"/>
    </xf>
    <xf numFmtId="164" fontId="2" fillId="0" borderId="2" xfId="2" applyNumberFormat="1" applyFont="1" applyBorder="1" applyAlignment="1">
      <alignment horizontal="center" vertical="center"/>
    </xf>
    <xf numFmtId="0" fontId="2" fillId="2" borderId="2" xfId="1" applyFont="1" applyFill="1" applyBorder="1" applyAlignment="1">
      <alignment horizontal="center"/>
    </xf>
    <xf numFmtId="0" fontId="6" fillId="0" borderId="2" xfId="1" applyFont="1" applyBorder="1" applyAlignment="1">
      <alignment horizontal="center" vertical="center" wrapText="1" readingOrder="1"/>
    </xf>
    <xf numFmtId="15" fontId="6" fillId="0" borderId="2" xfId="1" applyNumberFormat="1" applyFont="1" applyBorder="1" applyAlignment="1">
      <alignment horizontal="center" vertical="center" wrapText="1" readingOrder="1"/>
    </xf>
    <xf numFmtId="0" fontId="7" fillId="0" borderId="2" xfId="1" applyFont="1" applyBorder="1" applyAlignment="1">
      <alignment vertical="center" wrapText="1"/>
    </xf>
    <xf numFmtId="0" fontId="7" fillId="0" borderId="2" xfId="1" applyFont="1" applyBorder="1" applyAlignment="1">
      <alignment horizontal="left" vertical="center" wrapText="1"/>
    </xf>
    <xf numFmtId="0" fontId="7" fillId="0" borderId="2" xfId="1" applyFont="1" applyBorder="1" applyAlignment="1">
      <alignment horizontal="left" vertical="center" wrapText="1" readingOrder="1"/>
    </xf>
    <xf numFmtId="0" fontId="2" fillId="2" borderId="3" xfId="1" applyFont="1" applyFill="1" applyBorder="1" applyAlignment="1">
      <alignment vertical="center"/>
    </xf>
    <xf numFmtId="0" fontId="2" fillId="0" borderId="2" xfId="1" applyFont="1" applyBorder="1" applyAlignment="1">
      <alignment horizontal="left" vertical="center" wrapText="1" readingOrder="1"/>
    </xf>
    <xf numFmtId="0" fontId="2" fillId="2" borderId="2" xfId="3" applyNumberFormat="1" applyFont="1" applyFill="1" applyBorder="1" applyAlignment="1">
      <alignment horizontal="center" vertical="center"/>
    </xf>
    <xf numFmtId="0" fontId="8" fillId="0" borderId="2" xfId="1" applyFont="1" applyBorder="1" applyAlignment="1">
      <alignment vertical="center" wrapText="1"/>
    </xf>
    <xf numFmtId="0" fontId="9" fillId="0" borderId="2" xfId="1" applyFont="1" applyBorder="1" applyAlignment="1">
      <alignment horizontal="left" vertical="center" wrapText="1"/>
    </xf>
    <xf numFmtId="0" fontId="2" fillId="0" borderId="2" xfId="1" applyFont="1" applyBorder="1" applyAlignment="1">
      <alignment vertical="center" wrapText="1" readingOrder="1"/>
    </xf>
    <xf numFmtId="0" fontId="10" fillId="0" borderId="2" xfId="1" applyFont="1" applyBorder="1" applyAlignment="1">
      <alignment horizontal="left" vertical="center" wrapText="1"/>
    </xf>
    <xf numFmtId="0" fontId="1" fillId="0" borderId="2" xfId="1" applyBorder="1" applyAlignment="1">
      <alignment vertical="center" wrapText="1"/>
    </xf>
    <xf numFmtId="0" fontId="3" fillId="0" borderId="2" xfId="1" applyFont="1" applyBorder="1" applyAlignment="1">
      <alignment horizontal="center" vertical="center" wrapText="1"/>
    </xf>
    <xf numFmtId="0" fontId="2" fillId="3" borderId="2" xfId="1" applyFont="1" applyFill="1" applyBorder="1" applyAlignment="1">
      <alignment horizontal="center" vertical="center" wrapText="1"/>
    </xf>
    <xf numFmtId="0" fontId="3" fillId="0" borderId="2" xfId="1" applyFont="1" applyBorder="1" applyAlignment="1">
      <alignment horizontal="left" vertical="center" wrapText="1" readingOrder="1"/>
    </xf>
    <xf numFmtId="0" fontId="2" fillId="2" borderId="2" xfId="1" applyFont="1" applyFill="1" applyBorder="1" applyAlignment="1">
      <alignment horizontal="center" vertical="center" wrapText="1"/>
    </xf>
    <xf numFmtId="0" fontId="5" fillId="2" borderId="2" xfId="1" applyFont="1" applyFill="1" applyBorder="1" applyAlignment="1">
      <alignment horizontal="center" vertical="center" wrapText="1" readingOrder="1"/>
    </xf>
    <xf numFmtId="0" fontId="11" fillId="2" borderId="2" xfId="3" applyNumberFormat="1" applyFont="1" applyFill="1" applyBorder="1" applyAlignment="1">
      <alignment horizontal="center" vertical="center"/>
    </xf>
    <xf numFmtId="17" fontId="3" fillId="0" borderId="2" xfId="1" applyNumberFormat="1" applyFont="1" applyBorder="1" applyAlignment="1">
      <alignment horizontal="center" vertical="center" wrapText="1"/>
    </xf>
    <xf numFmtId="0" fontId="2" fillId="0" borderId="8" xfId="1" applyFont="1" applyBorder="1" applyAlignment="1">
      <alignment horizontal="center" vertical="center" wrapText="1"/>
    </xf>
    <xf numFmtId="0" fontId="3" fillId="0" borderId="8" xfId="1" applyFont="1" applyBorder="1" applyAlignment="1">
      <alignment horizontal="center" vertical="center" wrapText="1" readingOrder="1"/>
    </xf>
    <xf numFmtId="0" fontId="6" fillId="0" borderId="2" xfId="1" applyFont="1" applyBorder="1" applyAlignment="1">
      <alignment vertical="center" wrapText="1" readingOrder="1"/>
    </xf>
    <xf numFmtId="0" fontId="2" fillId="0" borderId="8" xfId="1" applyFont="1" applyBorder="1" applyAlignment="1">
      <alignment horizontal="center" vertical="center" wrapText="1" readingOrder="1"/>
    </xf>
    <xf numFmtId="0" fontId="12" fillId="0" borderId="8" xfId="1" applyFont="1" applyBorder="1" applyAlignment="1">
      <alignment horizontal="center" vertical="center" wrapText="1"/>
    </xf>
    <xf numFmtId="0" fontId="3" fillId="0" borderId="8" xfId="1" applyFont="1" applyBorder="1" applyAlignment="1">
      <alignment horizontal="center" vertical="center" wrapText="1"/>
    </xf>
    <xf numFmtId="0" fontId="2" fillId="0" borderId="2" xfId="1" applyFont="1" applyBorder="1" applyAlignment="1">
      <alignment horizontal="left" vertical="center" wrapText="1"/>
    </xf>
    <xf numFmtId="0" fontId="3" fillId="0" borderId="8" xfId="1" applyFont="1" applyBorder="1" applyAlignment="1">
      <alignment horizontal="center" vertical="center"/>
    </xf>
    <xf numFmtId="0" fontId="2" fillId="4" borderId="2" xfId="1" applyFont="1" applyFill="1" applyBorder="1" applyAlignment="1">
      <alignment horizontal="center" vertical="center"/>
    </xf>
    <xf numFmtId="0" fontId="3" fillId="2" borderId="2" xfId="1" applyFont="1" applyFill="1" applyBorder="1"/>
    <xf numFmtId="0" fontId="5" fillId="0" borderId="8" xfId="1" applyFont="1" applyBorder="1" applyAlignment="1">
      <alignment horizontal="center" vertical="center" wrapText="1" readingOrder="1"/>
    </xf>
    <xf numFmtId="0" fontId="2" fillId="2" borderId="8" xfId="1" applyFont="1" applyFill="1" applyBorder="1" applyAlignment="1">
      <alignment horizontal="center"/>
    </xf>
    <xf numFmtId="0" fontId="3" fillId="0" borderId="2" xfId="1" applyFont="1" applyBorder="1" applyAlignment="1">
      <alignment wrapText="1"/>
    </xf>
    <xf numFmtId="0" fontId="2" fillId="0" borderId="2" xfId="1" applyFont="1" applyBorder="1" applyAlignment="1">
      <alignment wrapText="1"/>
    </xf>
    <xf numFmtId="0" fontId="2" fillId="0" borderId="2" xfId="1" applyFont="1" applyBorder="1" applyAlignment="1">
      <alignment vertical="center" wrapText="1"/>
    </xf>
    <xf numFmtId="164" fontId="2" fillId="0" borderId="8" xfId="2" applyNumberFormat="1" applyFont="1" applyBorder="1" applyAlignment="1">
      <alignment horizontal="center" vertical="center" wrapText="1"/>
    </xf>
    <xf numFmtId="0" fontId="2" fillId="2" borderId="8" xfId="1" applyFont="1" applyFill="1" applyBorder="1" applyAlignment="1">
      <alignment horizontal="left" vertical="center" wrapText="1"/>
    </xf>
    <xf numFmtId="0" fontId="2" fillId="0" borderId="8" xfId="1" applyFont="1" applyBorder="1" applyAlignment="1">
      <alignment horizontal="center" vertical="center"/>
    </xf>
    <xf numFmtId="0" fontId="2" fillId="3" borderId="8" xfId="1" applyFont="1" applyFill="1" applyBorder="1" applyAlignment="1">
      <alignment horizontal="center" vertical="center" wrapText="1"/>
    </xf>
    <xf numFmtId="0" fontId="6" fillId="0" borderId="8" xfId="3" applyNumberFormat="1" applyFont="1" applyBorder="1" applyAlignment="1">
      <alignment horizontal="center" vertical="center" wrapText="1" readingOrder="1"/>
    </xf>
    <xf numFmtId="0" fontId="6" fillId="0" borderId="8" xfId="1" applyFont="1" applyBorder="1" applyAlignment="1">
      <alignment horizontal="center" vertical="center" wrapText="1" readingOrder="1"/>
    </xf>
    <xf numFmtId="17" fontId="6" fillId="0" borderId="8" xfId="1" applyNumberFormat="1" applyFont="1" applyBorder="1" applyAlignment="1">
      <alignment horizontal="center" vertical="center" wrapText="1" readingOrder="1"/>
    </xf>
    <xf numFmtId="0" fontId="2" fillId="0" borderId="8" xfId="1" applyFont="1" applyBorder="1" applyAlignment="1">
      <alignment horizontal="left" vertical="center"/>
    </xf>
    <xf numFmtId="0" fontId="2" fillId="5" borderId="2" xfId="1" applyFont="1" applyFill="1" applyBorder="1" applyAlignment="1">
      <alignment horizontal="center" vertical="center"/>
    </xf>
    <xf numFmtId="0" fontId="6" fillId="0" borderId="0" xfId="1" applyFont="1" applyAlignment="1">
      <alignment horizontal="center" vertical="center" wrapText="1" readingOrder="1"/>
    </xf>
    <xf numFmtId="17" fontId="2" fillId="0" borderId="2" xfId="1" applyNumberFormat="1" applyFont="1" applyBorder="1" applyAlignment="1">
      <alignment horizontal="center" vertical="center" wrapText="1"/>
    </xf>
    <xf numFmtId="0" fontId="13" fillId="0" borderId="2" xfId="1" applyFont="1" applyBorder="1" applyAlignment="1">
      <alignment horizontal="center" vertical="center" wrapText="1"/>
    </xf>
    <xf numFmtId="0" fontId="2" fillId="0" borderId="2" xfId="1" applyFont="1" applyBorder="1"/>
    <xf numFmtId="0" fontId="2" fillId="0" borderId="2" xfId="1" applyFont="1" applyBorder="1" applyAlignment="1">
      <alignment horizontal="center"/>
    </xf>
    <xf numFmtId="0" fontId="2" fillId="0" borderId="0" xfId="1" applyFont="1" applyAlignment="1">
      <alignment horizontal="center" vertical="center" wrapText="1" readingOrder="1"/>
    </xf>
    <xf numFmtId="0" fontId="2" fillId="2" borderId="8" xfId="1" applyFont="1" applyFill="1" applyBorder="1" applyAlignment="1">
      <alignment vertical="center"/>
    </xf>
    <xf numFmtId="0" fontId="3" fillId="0" borderId="2" xfId="1" quotePrefix="1" applyFont="1" applyBorder="1" applyAlignment="1">
      <alignment horizontal="center" vertical="center"/>
    </xf>
    <xf numFmtId="0" fontId="2" fillId="2" borderId="2" xfId="1" applyFont="1" applyFill="1" applyBorder="1" applyAlignment="1">
      <alignment vertical="center" wrapText="1"/>
    </xf>
    <xf numFmtId="0" fontId="2" fillId="0" borderId="1" xfId="1" applyFont="1" applyBorder="1" applyAlignment="1">
      <alignment horizontal="center" vertical="center" wrapText="1" readingOrder="1"/>
    </xf>
    <xf numFmtId="0" fontId="2" fillId="0" borderId="0" xfId="1" applyFont="1"/>
    <xf numFmtId="0" fontId="2" fillId="0" borderId="0" xfId="1" applyFont="1" applyAlignment="1">
      <alignment vertical="center"/>
    </xf>
    <xf numFmtId="0" fontId="15" fillId="0" borderId="2" xfId="1" applyFont="1" applyBorder="1" applyAlignment="1">
      <alignment vertical="center" wrapText="1"/>
    </xf>
    <xf numFmtId="0" fontId="3" fillId="2" borderId="0" xfId="1" applyFont="1" applyFill="1"/>
    <xf numFmtId="0" fontId="6" fillId="0" borderId="2" xfId="1" applyFont="1" applyBorder="1" applyAlignment="1">
      <alignment horizontal="left" vertical="center" wrapText="1" readingOrder="1"/>
    </xf>
    <xf numFmtId="0" fontId="2" fillId="2" borderId="0" xfId="1" applyFont="1" applyFill="1" applyAlignment="1">
      <alignment vertical="center" wrapText="1"/>
    </xf>
    <xf numFmtId="0" fontId="3" fillId="2" borderId="0" xfId="1" applyFont="1" applyFill="1" applyAlignment="1">
      <alignment vertical="center"/>
    </xf>
    <xf numFmtId="0" fontId="3" fillId="2" borderId="2" xfId="1" applyFont="1" applyFill="1" applyBorder="1" applyAlignment="1">
      <alignment vertical="center"/>
    </xf>
    <xf numFmtId="164" fontId="3" fillId="0" borderId="2" xfId="2" applyNumberFormat="1" applyFont="1" applyBorder="1" applyAlignment="1">
      <alignment horizontal="center" vertical="center" wrapText="1"/>
    </xf>
    <xf numFmtId="0" fontId="3" fillId="2" borderId="2" xfId="1" applyFont="1" applyFill="1" applyBorder="1" applyAlignment="1">
      <alignment horizontal="left" vertical="center" wrapText="1"/>
    </xf>
    <xf numFmtId="0" fontId="3" fillId="0" borderId="2" xfId="3" applyNumberFormat="1" applyFont="1" applyBorder="1" applyAlignment="1">
      <alignment horizontal="center" vertical="center" wrapText="1" readingOrder="1"/>
    </xf>
    <xf numFmtId="17" fontId="3" fillId="0" borderId="2" xfId="1" applyNumberFormat="1" applyFont="1" applyBorder="1" applyAlignment="1">
      <alignment horizontal="center" vertical="center" wrapText="1" readingOrder="1"/>
    </xf>
    <xf numFmtId="0" fontId="2" fillId="2" borderId="2" xfId="1" applyFont="1" applyFill="1" applyBorder="1" applyAlignment="1">
      <alignment horizontal="center" vertical="center" wrapText="1" readingOrder="1"/>
    </xf>
    <xf numFmtId="164" fontId="2" fillId="2" borderId="2" xfId="2" applyNumberFormat="1" applyFont="1" applyFill="1" applyBorder="1" applyAlignment="1">
      <alignment horizontal="center" vertical="center"/>
    </xf>
    <xf numFmtId="164" fontId="2" fillId="2" borderId="2" xfId="2" applyNumberFormat="1" applyFont="1" applyFill="1" applyBorder="1" applyAlignment="1">
      <alignment horizontal="center" vertical="center" wrapText="1"/>
    </xf>
    <xf numFmtId="0" fontId="2" fillId="2" borderId="2" xfId="1" applyFont="1" applyFill="1" applyBorder="1" applyAlignment="1">
      <alignment wrapText="1"/>
    </xf>
    <xf numFmtId="0" fontId="14" fillId="2" borderId="2" xfId="1" applyFont="1" applyFill="1" applyBorder="1" applyAlignment="1">
      <alignment horizontal="center" vertical="center" wrapText="1"/>
    </xf>
    <xf numFmtId="0" fontId="3" fillId="2" borderId="2" xfId="1" applyFont="1" applyFill="1" applyBorder="1" applyAlignment="1">
      <alignment horizontal="center" vertical="center"/>
    </xf>
    <xf numFmtId="0" fontId="6" fillId="2" borderId="2" xfId="3" applyNumberFormat="1" applyFont="1" applyFill="1" applyBorder="1" applyAlignment="1">
      <alignment horizontal="center" vertical="center" wrapText="1" readingOrder="1"/>
    </xf>
    <xf numFmtId="0" fontId="6" fillId="2" borderId="2" xfId="1" applyFont="1" applyFill="1" applyBorder="1" applyAlignment="1">
      <alignment horizontal="center" vertical="center" wrapText="1" readingOrder="1"/>
    </xf>
    <xf numFmtId="17" fontId="6" fillId="2" borderId="2" xfId="1" applyNumberFormat="1" applyFont="1" applyFill="1" applyBorder="1" applyAlignment="1">
      <alignment horizontal="center" vertical="center" wrapText="1" readingOrder="1"/>
    </xf>
    <xf numFmtId="3" fontId="2" fillId="0" borderId="2" xfId="1" applyNumberFormat="1" applyFont="1" applyBorder="1" applyAlignment="1">
      <alignment horizontal="center" vertical="center" wrapText="1"/>
    </xf>
    <xf numFmtId="0" fontId="16" fillId="0" borderId="2" xfId="1" applyFont="1" applyBorder="1" applyAlignment="1">
      <alignment horizontal="center" vertical="center" wrapText="1" readingOrder="1"/>
    </xf>
    <xf numFmtId="17" fontId="2" fillId="0" borderId="2" xfId="1" applyNumberFormat="1" applyFont="1" applyBorder="1" applyAlignment="1">
      <alignment horizontal="center" vertical="center"/>
    </xf>
    <xf numFmtId="0" fontId="17" fillId="0" borderId="2" xfId="1" applyFont="1" applyBorder="1" applyAlignment="1">
      <alignment vertical="center" wrapText="1"/>
    </xf>
    <xf numFmtId="0" fontId="18" fillId="0" borderId="2" xfId="1" applyFont="1" applyBorder="1" applyAlignment="1">
      <alignment horizontal="center" vertical="center" wrapText="1" readingOrder="1"/>
    </xf>
    <xf numFmtId="0" fontId="17" fillId="0" borderId="2" xfId="1" applyFont="1" applyBorder="1" applyAlignment="1">
      <alignment horizontal="center" vertical="center" wrapText="1"/>
    </xf>
    <xf numFmtId="17" fontId="16" fillId="0" borderId="2" xfId="1" applyNumberFormat="1" applyFont="1" applyBorder="1" applyAlignment="1">
      <alignment horizontal="center" vertical="center" wrapText="1" readingOrder="1"/>
    </xf>
    <xf numFmtId="6" fontId="3" fillId="0" borderId="2" xfId="1" applyNumberFormat="1" applyFont="1" applyBorder="1" applyAlignment="1">
      <alignment horizontal="center" vertical="center" wrapText="1" readingOrder="1"/>
    </xf>
    <xf numFmtId="0" fontId="3" fillId="0" borderId="2" xfId="1" applyFont="1" applyBorder="1" applyAlignment="1">
      <alignment vertical="center" wrapText="1"/>
    </xf>
    <xf numFmtId="0" fontId="17" fillId="0" borderId="0" xfId="1" applyFont="1" applyAlignment="1">
      <alignment horizontal="center" vertical="center" wrapText="1" readingOrder="1"/>
    </xf>
    <xf numFmtId="0" fontId="19" fillId="0" borderId="2" xfId="1" applyFont="1" applyBorder="1" applyAlignment="1">
      <alignment horizontal="center" vertical="center" wrapText="1"/>
    </xf>
    <xf numFmtId="0" fontId="2" fillId="6" borderId="0" xfId="1" applyFont="1" applyFill="1"/>
    <xf numFmtId="0" fontId="3" fillId="0" borderId="0" xfId="1" applyFont="1"/>
    <xf numFmtId="0" fontId="2" fillId="2" borderId="2" xfId="1" applyFont="1" applyFill="1" applyBorder="1" applyAlignment="1">
      <alignment horizontal="left" wrapText="1"/>
    </xf>
    <xf numFmtId="0" fontId="2" fillId="0" borderId="2" xfId="1" applyFont="1" applyBorder="1" applyAlignment="1">
      <alignment horizontal="center" wrapText="1"/>
    </xf>
    <xf numFmtId="0" fontId="2" fillId="0" borderId="2" xfId="1" applyFont="1" applyBorder="1" applyAlignment="1">
      <alignment vertical="center"/>
    </xf>
    <xf numFmtId="0" fontId="3" fillId="2" borderId="2" xfId="1" applyFont="1" applyFill="1" applyBorder="1" applyAlignment="1">
      <alignment horizontal="center" vertical="center" wrapText="1"/>
    </xf>
    <xf numFmtId="164" fontId="2" fillId="0" borderId="2" xfId="2" applyNumberFormat="1" applyFont="1" applyBorder="1" applyAlignment="1">
      <alignment horizontal="center" vertical="center" wrapText="1" readingOrder="1"/>
    </xf>
    <xf numFmtId="0" fontId="2" fillId="6" borderId="0" xfId="1" applyFont="1" applyFill="1" applyAlignment="1">
      <alignment vertical="center"/>
    </xf>
    <xf numFmtId="17" fontId="2" fillId="0" borderId="2" xfId="1" applyNumberFormat="1" applyFont="1" applyBorder="1" applyAlignment="1">
      <alignment horizontal="center" vertical="center" wrapText="1" readingOrder="1"/>
    </xf>
    <xf numFmtId="0" fontId="2" fillId="2" borderId="2" xfId="1" applyFont="1" applyFill="1" applyBorder="1" applyAlignment="1">
      <alignment horizontal="left" vertical="center"/>
    </xf>
    <xf numFmtId="17" fontId="2" fillId="0" borderId="8" xfId="1" applyNumberFormat="1" applyFont="1" applyBorder="1" applyAlignment="1">
      <alignment horizontal="center" vertical="center" wrapText="1" readingOrder="1"/>
    </xf>
    <xf numFmtId="0" fontId="2" fillId="0" borderId="3" xfId="1" applyFont="1" applyBorder="1"/>
    <xf numFmtId="0" fontId="2" fillId="7" borderId="2" xfId="1" applyFont="1" applyFill="1" applyBorder="1" applyAlignment="1">
      <alignment horizontal="left" vertical="center" wrapText="1"/>
    </xf>
    <xf numFmtId="164" fontId="2" fillId="0" borderId="2" xfId="2" applyNumberFormat="1" applyFont="1" applyBorder="1" applyAlignment="1">
      <alignment horizontal="left" vertical="center" wrapText="1"/>
    </xf>
    <xf numFmtId="0" fontId="11" fillId="2" borderId="2" xfId="3" applyNumberFormat="1" applyFont="1" applyFill="1" applyBorder="1" applyAlignment="1">
      <alignment horizontal="center" vertical="center" wrapText="1"/>
    </xf>
    <xf numFmtId="0" fontId="2" fillId="2" borderId="8" xfId="1" applyFont="1" applyFill="1" applyBorder="1" applyAlignment="1">
      <alignment horizontal="center" vertical="center"/>
    </xf>
    <xf numFmtId="17" fontId="20" fillId="0" borderId="2" xfId="1" applyNumberFormat="1" applyFont="1" applyBorder="1" applyAlignment="1">
      <alignment horizontal="center" vertical="center" wrapText="1"/>
    </xf>
    <xf numFmtId="0" fontId="1" fillId="0" borderId="5" xfId="1" applyBorder="1" applyAlignment="1">
      <alignment vertical="center"/>
    </xf>
    <xf numFmtId="0" fontId="1" fillId="0" borderId="2" xfId="1" applyBorder="1" applyAlignment="1">
      <alignment vertical="center"/>
    </xf>
    <xf numFmtId="0" fontId="2" fillId="8" borderId="2" xfId="1" applyFont="1" applyFill="1" applyBorder="1" applyAlignment="1">
      <alignment horizontal="center" vertical="center"/>
    </xf>
    <xf numFmtId="0" fontId="1" fillId="0" borderId="2" xfId="1" applyBorder="1" applyAlignment="1">
      <alignment horizontal="center" vertical="center"/>
    </xf>
    <xf numFmtId="0" fontId="2" fillId="9" borderId="2" xfId="1" applyFont="1" applyFill="1" applyBorder="1" applyAlignment="1">
      <alignment horizontal="center" vertical="center"/>
    </xf>
    <xf numFmtId="0" fontId="21" fillId="2" borderId="2" xfId="1" applyFont="1" applyFill="1" applyBorder="1" applyAlignment="1">
      <alignment vertical="center" wrapText="1"/>
    </xf>
    <xf numFmtId="164" fontId="3" fillId="0" borderId="2" xfId="2" applyNumberFormat="1" applyFont="1" applyBorder="1" applyAlignment="1">
      <alignment horizontal="center" vertical="center" wrapText="1" readingOrder="1"/>
    </xf>
    <xf numFmtId="44" fontId="2" fillId="0" borderId="2" xfId="2" applyFont="1" applyBorder="1" applyAlignment="1">
      <alignment horizontal="center" vertical="center" wrapText="1" readingOrder="1"/>
    </xf>
    <xf numFmtId="0" fontId="17" fillId="0" borderId="2" xfId="1" applyFont="1" applyBorder="1" applyAlignment="1">
      <alignment horizontal="left" vertical="center" wrapText="1"/>
    </xf>
    <xf numFmtId="0" fontId="2" fillId="10" borderId="2" xfId="1" applyFont="1" applyFill="1" applyBorder="1" applyAlignment="1">
      <alignment horizontal="center" vertical="center"/>
    </xf>
    <xf numFmtId="0" fontId="2" fillId="2" borderId="3" xfId="1" applyFont="1" applyFill="1" applyBorder="1" applyAlignment="1">
      <alignment vertical="center" wrapText="1"/>
    </xf>
    <xf numFmtId="0" fontId="3" fillId="0" borderId="2" xfId="1" quotePrefix="1" applyFont="1" applyBorder="1" applyAlignment="1">
      <alignment horizontal="center" vertical="center" wrapText="1"/>
    </xf>
    <xf numFmtId="0" fontId="2" fillId="0" borderId="3" xfId="1" applyFont="1" applyBorder="1" applyAlignment="1">
      <alignment horizontal="center" vertical="center" wrapText="1" readingOrder="1"/>
    </xf>
    <xf numFmtId="0" fontId="2" fillId="0" borderId="3" xfId="1" applyFont="1" applyBorder="1" applyAlignment="1">
      <alignment horizontal="center" vertical="center" wrapText="1"/>
    </xf>
    <xf numFmtId="0" fontId="2" fillId="2" borderId="3" xfId="1" applyFont="1" applyFill="1" applyBorder="1" applyAlignment="1">
      <alignment horizontal="center" vertical="center"/>
    </xf>
    <xf numFmtId="0" fontId="16" fillId="0" borderId="3" xfId="1" applyFont="1" applyBorder="1" applyAlignment="1">
      <alignment horizontal="center" vertical="center" wrapText="1" readingOrder="1"/>
    </xf>
    <xf numFmtId="0" fontId="2" fillId="0" borderId="3" xfId="1" applyFont="1" applyBorder="1" applyAlignment="1">
      <alignment horizontal="center" vertical="center"/>
    </xf>
    <xf numFmtId="0" fontId="2" fillId="11" borderId="2" xfId="1" applyFont="1" applyFill="1" applyBorder="1" applyAlignment="1">
      <alignment horizontal="center" vertical="center" wrapText="1"/>
    </xf>
    <xf numFmtId="15" fontId="2" fillId="0" borderId="2" xfId="1" applyNumberFormat="1" applyFont="1" applyBorder="1" applyAlignment="1">
      <alignment horizontal="center" vertical="center"/>
    </xf>
    <xf numFmtId="0" fontId="3" fillId="0" borderId="2" xfId="1" applyFont="1" applyBorder="1"/>
    <xf numFmtId="0" fontId="5" fillId="0" borderId="2" xfId="1" applyFont="1" applyBorder="1" applyAlignment="1">
      <alignment horizontal="left" vertical="center" wrapText="1" readingOrder="1"/>
    </xf>
    <xf numFmtId="0" fontId="2" fillId="0" borderId="0" xfId="1" applyFont="1" applyAlignment="1">
      <alignment horizontal="left" vertical="center" wrapText="1"/>
    </xf>
    <xf numFmtId="0" fontId="2" fillId="0" borderId="0" xfId="1" applyFont="1" applyAlignment="1">
      <alignment horizontal="center" vertical="center" wrapText="1"/>
    </xf>
    <xf numFmtId="164" fontId="2" fillId="0" borderId="0" xfId="2" applyNumberFormat="1" applyFont="1" applyBorder="1" applyAlignment="1">
      <alignment horizontal="center" vertical="center" wrapText="1"/>
    </xf>
    <xf numFmtId="0" fontId="2" fillId="11" borderId="8" xfId="1" applyFont="1" applyFill="1" applyBorder="1" applyAlignment="1">
      <alignment horizontal="center" vertical="center" wrapText="1" readingOrder="1"/>
    </xf>
    <xf numFmtId="0" fontId="2" fillId="11" borderId="2" xfId="1" applyFont="1" applyFill="1" applyBorder="1" applyAlignment="1">
      <alignment horizontal="center" vertical="center" wrapText="1" readingOrder="1"/>
    </xf>
    <xf numFmtId="164" fontId="2" fillId="0" borderId="2" xfId="2" applyNumberFormat="1" applyFont="1" applyFill="1" applyBorder="1" applyAlignment="1">
      <alignment horizontal="center" vertical="center" wrapText="1"/>
    </xf>
    <xf numFmtId="0" fontId="6" fillId="0" borderId="3" xfId="1" applyFont="1" applyBorder="1" applyAlignment="1">
      <alignment horizontal="center" vertical="center" wrapText="1" readingOrder="1"/>
    </xf>
    <xf numFmtId="0" fontId="2" fillId="0" borderId="8" xfId="1" applyFont="1" applyBorder="1" applyAlignment="1">
      <alignment horizontal="center"/>
    </xf>
    <xf numFmtId="0" fontId="17" fillId="2" borderId="2" xfId="1" applyFont="1" applyFill="1" applyBorder="1" applyAlignment="1">
      <alignment horizontal="left" vertical="center" wrapText="1"/>
    </xf>
    <xf numFmtId="0" fontId="2" fillId="12" borderId="2" xfId="1" applyFont="1" applyFill="1" applyBorder="1" applyAlignment="1">
      <alignment horizontal="center" vertical="center"/>
    </xf>
    <xf numFmtId="0" fontId="11" fillId="0" borderId="2" xfId="3" applyNumberFormat="1" applyFont="1" applyBorder="1" applyAlignment="1">
      <alignment horizontal="center" vertical="center"/>
    </xf>
    <xf numFmtId="0" fontId="2" fillId="0" borderId="3" xfId="1" applyFont="1" applyBorder="1" applyAlignment="1">
      <alignment horizontal="center"/>
    </xf>
    <xf numFmtId="0" fontId="2" fillId="0" borderId="3" xfId="1" applyFont="1" applyBorder="1" applyAlignment="1">
      <alignment horizontal="center" wrapText="1"/>
    </xf>
    <xf numFmtId="0" fontId="2" fillId="2" borderId="2" xfId="1" applyFont="1" applyFill="1" applyBorder="1" applyAlignment="1">
      <alignment horizontal="left" vertical="center" indent="1"/>
    </xf>
    <xf numFmtId="0" fontId="2" fillId="13" borderId="2" xfId="1" applyFont="1" applyFill="1" applyBorder="1" applyAlignment="1">
      <alignment horizontal="center" vertical="center"/>
    </xf>
    <xf numFmtId="0" fontId="2" fillId="6" borderId="2" xfId="1" applyFont="1" applyFill="1" applyBorder="1" applyAlignment="1">
      <alignment vertical="center"/>
    </xf>
    <xf numFmtId="0" fontId="17" fillId="0" borderId="2" xfId="1" applyFont="1" applyBorder="1" applyAlignment="1">
      <alignment horizontal="center" vertical="center" wrapText="1" readingOrder="1"/>
    </xf>
    <xf numFmtId="0" fontId="12" fillId="2" borderId="0" xfId="1" applyFont="1" applyFill="1" applyAlignment="1">
      <alignment vertical="center"/>
    </xf>
    <xf numFmtId="0" fontId="21" fillId="0" borderId="2" xfId="1" applyFont="1" applyBorder="1" applyAlignment="1">
      <alignment vertical="center" wrapText="1"/>
    </xf>
    <xf numFmtId="17" fontId="2" fillId="11" borderId="2" xfId="1" applyNumberFormat="1" applyFont="1" applyFill="1" applyBorder="1" applyAlignment="1">
      <alignment horizontal="center" vertical="center" wrapText="1"/>
    </xf>
    <xf numFmtId="0" fontId="2" fillId="0" borderId="2" xfId="1" applyFont="1" applyBorder="1" applyAlignment="1">
      <alignment horizontal="left" vertical="center" indent="1"/>
    </xf>
    <xf numFmtId="0" fontId="2" fillId="0" borderId="3" xfId="1" applyFont="1" applyBorder="1" applyAlignment="1">
      <alignment vertical="center"/>
    </xf>
    <xf numFmtId="17" fontId="2" fillId="0" borderId="3" xfId="1" applyNumberFormat="1" applyFont="1" applyBorder="1" applyAlignment="1">
      <alignment horizontal="center" vertical="center" wrapText="1" readingOrder="1"/>
    </xf>
    <xf numFmtId="0" fontId="2" fillId="0" borderId="3" xfId="1" applyFont="1" applyBorder="1" applyAlignment="1">
      <alignment horizontal="left" vertical="center"/>
    </xf>
    <xf numFmtId="17" fontId="2" fillId="0" borderId="3" xfId="1" applyNumberFormat="1" applyFont="1" applyBorder="1" applyAlignment="1">
      <alignment horizontal="center" vertical="center"/>
    </xf>
    <xf numFmtId="164" fontId="2" fillId="0" borderId="2" xfId="2" applyNumberFormat="1" applyFont="1" applyFill="1" applyBorder="1" applyAlignment="1">
      <alignment horizontal="center" vertical="center" wrapText="1" readingOrder="1"/>
    </xf>
    <xf numFmtId="0" fontId="5" fillId="0" borderId="3" xfId="1" applyFont="1" applyBorder="1" applyAlignment="1">
      <alignment horizontal="center" vertical="center" wrapText="1" readingOrder="1"/>
    </xf>
    <xf numFmtId="0" fontId="3" fillId="2" borderId="3" xfId="1" applyFont="1" applyFill="1" applyBorder="1" applyAlignment="1">
      <alignment vertical="center"/>
    </xf>
    <xf numFmtId="164" fontId="2" fillId="0" borderId="2" xfId="1" applyNumberFormat="1" applyFont="1" applyBorder="1" applyAlignment="1">
      <alignment horizontal="center" vertical="center" wrapText="1" readingOrder="1"/>
    </xf>
    <xf numFmtId="0" fontId="3" fillId="7" borderId="2" xfId="1" applyFont="1" applyFill="1" applyBorder="1" applyAlignment="1">
      <alignment horizontal="left" vertical="center" wrapText="1" readingOrder="1"/>
    </xf>
    <xf numFmtId="0" fontId="1" fillId="0" borderId="3" xfId="1" applyBorder="1" applyAlignment="1">
      <alignment horizontal="center" vertical="center"/>
    </xf>
    <xf numFmtId="6" fontId="2" fillId="0" borderId="2" xfId="1" applyNumberFormat="1" applyFont="1" applyBorder="1" applyAlignment="1">
      <alignment horizontal="center" vertical="center" wrapText="1" readingOrder="1"/>
    </xf>
    <xf numFmtId="17" fontId="17" fillId="0" borderId="2" xfId="1" applyNumberFormat="1" applyFont="1" applyBorder="1" applyAlignment="1">
      <alignment horizontal="center" vertical="center" wrapText="1" readingOrder="1"/>
    </xf>
    <xf numFmtId="0" fontId="2" fillId="2" borderId="5" xfId="1" applyFont="1" applyFill="1" applyBorder="1" applyAlignment="1">
      <alignment vertical="center"/>
    </xf>
    <xf numFmtId="0" fontId="2" fillId="2" borderId="6" xfId="1" applyFont="1" applyFill="1" applyBorder="1"/>
    <xf numFmtId="0" fontId="2" fillId="2" borderId="9" xfId="1" applyFont="1" applyFill="1" applyBorder="1"/>
    <xf numFmtId="0" fontId="17" fillId="2" borderId="0" xfId="1" applyFont="1" applyFill="1"/>
    <xf numFmtId="0" fontId="17" fillId="2" borderId="2" xfId="1" applyFont="1" applyFill="1" applyBorder="1" applyAlignment="1">
      <alignment horizontal="center" vertical="center"/>
    </xf>
    <xf numFmtId="0" fontId="23" fillId="14" borderId="10" xfId="1" applyFont="1" applyFill="1" applyBorder="1" applyAlignment="1">
      <alignment horizontal="center" vertical="center" wrapText="1" readingOrder="1"/>
    </xf>
    <xf numFmtId="164" fontId="24" fillId="15" borderId="8" xfId="2" applyNumberFormat="1" applyFont="1" applyFill="1" applyBorder="1" applyAlignment="1">
      <alignment horizontal="center" vertical="center" wrapText="1" readingOrder="1"/>
    </xf>
    <xf numFmtId="17" fontId="24" fillId="15" borderId="0" xfId="1" applyNumberFormat="1" applyFont="1" applyFill="1" applyAlignment="1">
      <alignment horizontal="center" vertical="center" wrapText="1" readingOrder="1"/>
    </xf>
    <xf numFmtId="0" fontId="24" fillId="15" borderId="0" xfId="1" applyFont="1" applyFill="1" applyAlignment="1">
      <alignment horizontal="center" vertical="center" wrapText="1" readingOrder="1"/>
    </xf>
    <xf numFmtId="0" fontId="24" fillId="15" borderId="8" xfId="1" applyFont="1" applyFill="1" applyBorder="1" applyAlignment="1">
      <alignment horizontal="center" vertical="center" wrapText="1" readingOrder="1"/>
    </xf>
    <xf numFmtId="0" fontId="25" fillId="14" borderId="0" xfId="1" applyFont="1" applyFill="1" applyAlignment="1">
      <alignment horizontal="center" vertical="center" wrapText="1" readingOrder="1"/>
    </xf>
    <xf numFmtId="0" fontId="26" fillId="14" borderId="11" xfId="1" applyFont="1" applyFill="1" applyBorder="1" applyAlignment="1">
      <alignment horizontal="center" vertical="center" wrapText="1" readingOrder="1"/>
    </xf>
    <xf numFmtId="0" fontId="11" fillId="2" borderId="8" xfId="1" applyFont="1" applyFill="1" applyBorder="1" applyAlignment="1">
      <alignment horizontal="center" vertical="center"/>
    </xf>
    <xf numFmtId="0" fontId="2" fillId="0" borderId="12" xfId="1" applyFont="1" applyBorder="1" applyAlignment="1">
      <alignment horizontal="center" vertical="center" wrapText="1"/>
    </xf>
    <xf numFmtId="0" fontId="23" fillId="16" borderId="11" xfId="1" applyFont="1" applyFill="1" applyBorder="1" applyAlignment="1">
      <alignment horizontal="center" vertical="center" wrapText="1" readingOrder="1"/>
    </xf>
    <xf numFmtId="0" fontId="26" fillId="16" borderId="11" xfId="1" applyFont="1" applyFill="1" applyBorder="1" applyAlignment="1">
      <alignment horizontal="center" vertical="center" wrapText="1" readingOrder="1"/>
    </xf>
    <xf numFmtId="0" fontId="13" fillId="17" borderId="0" xfId="1" applyFont="1" applyFill="1" applyAlignment="1">
      <alignment horizontal="center" vertical="center" wrapText="1"/>
    </xf>
    <xf numFmtId="0" fontId="27" fillId="14" borderId="0" xfId="1" applyFont="1" applyFill="1" applyAlignment="1">
      <alignment horizontal="center" vertical="center" wrapText="1" readingOrder="1"/>
    </xf>
    <xf numFmtId="0" fontId="23" fillId="14" borderId="0" xfId="1" applyFont="1" applyFill="1" applyAlignment="1">
      <alignment horizontal="center" vertical="center" wrapText="1" readingOrder="1"/>
    </xf>
    <xf numFmtId="0" fontId="26" fillId="14" borderId="0" xfId="1" applyFont="1" applyFill="1" applyAlignment="1">
      <alignment horizontal="center" vertical="center" wrapText="1" readingOrder="1"/>
    </xf>
    <xf numFmtId="0" fontId="22" fillId="0" borderId="9" xfId="1" applyFont="1" applyBorder="1" applyAlignment="1">
      <alignment horizontal="center" vertical="center" wrapText="1"/>
    </xf>
    <xf numFmtId="0" fontId="26" fillId="14" borderId="13" xfId="1" applyFont="1" applyFill="1" applyBorder="1" applyAlignment="1">
      <alignment horizontal="center" vertical="center" wrapText="1" readingOrder="1"/>
    </xf>
    <xf numFmtId="0" fontId="24" fillId="14" borderId="13" xfId="1" applyFont="1" applyFill="1" applyBorder="1" applyAlignment="1">
      <alignment horizontal="center" vertical="center" wrapText="1" readingOrder="1"/>
    </xf>
    <xf numFmtId="0" fontId="13" fillId="17" borderId="14" xfId="1" applyFont="1" applyFill="1" applyBorder="1" applyAlignment="1">
      <alignment horizontal="center" vertical="center"/>
    </xf>
    <xf numFmtId="0" fontId="28" fillId="14" borderId="14" xfId="1" applyFont="1" applyFill="1" applyBorder="1" applyAlignment="1">
      <alignment horizontal="center" vertical="center" wrapText="1" readingOrder="1"/>
    </xf>
    <xf numFmtId="0" fontId="28" fillId="14" borderId="13" xfId="1" applyFont="1" applyFill="1" applyBorder="1" applyAlignment="1">
      <alignment horizontal="center" vertical="center" wrapText="1" readingOrder="1"/>
    </xf>
    <xf numFmtId="0" fontId="23" fillId="14" borderId="13" xfId="1" applyFont="1" applyFill="1" applyBorder="1" applyAlignment="1">
      <alignment horizontal="center" vertical="center" wrapText="1" readingOrder="1"/>
    </xf>
    <xf numFmtId="0" fontId="17" fillId="0" borderId="12" xfId="1" applyFont="1" applyBorder="1" applyAlignment="1">
      <alignment horizontal="center" vertical="center"/>
    </xf>
    <xf numFmtId="0" fontId="29" fillId="0" borderId="0" xfId="1" applyFont="1" applyAlignment="1">
      <alignment horizontal="center" vertical="center" wrapText="1"/>
    </xf>
    <xf numFmtId="164" fontId="30" fillId="0" borderId="0" xfId="2" applyNumberFormat="1" applyFont="1" applyAlignment="1">
      <alignment horizontal="center" vertical="center" wrapText="1"/>
    </xf>
    <xf numFmtId="0" fontId="29" fillId="0" borderId="0" xfId="1" applyFont="1" applyAlignment="1">
      <alignment horizontal="center" vertical="center" wrapText="1"/>
    </xf>
    <xf numFmtId="164" fontId="29" fillId="0" borderId="0" xfId="2" applyNumberFormat="1" applyFont="1" applyAlignment="1">
      <alignment horizontal="center" vertical="center" wrapText="1"/>
    </xf>
    <xf numFmtId="0" fontId="11" fillId="2" borderId="1" xfId="1" applyFont="1" applyFill="1" applyBorder="1" applyAlignment="1">
      <alignment horizontal="center" vertical="center"/>
    </xf>
    <xf numFmtId="0" fontId="2" fillId="0" borderId="4" xfId="1" applyFont="1" applyBorder="1" applyAlignment="1">
      <alignment horizontal="center" vertical="center" wrapText="1"/>
    </xf>
    <xf numFmtId="0" fontId="11" fillId="2" borderId="0" xfId="1" applyFont="1" applyFill="1" applyAlignment="1">
      <alignment horizontal="center" vertical="center"/>
    </xf>
    <xf numFmtId="0" fontId="2" fillId="2" borderId="0" xfId="1" applyFont="1" applyFill="1" applyAlignment="1">
      <alignment horizontal="center" wrapText="1"/>
    </xf>
    <xf numFmtId="0" fontId="31" fillId="0" borderId="0" xfId="1" applyFont="1" applyAlignment="1">
      <alignment horizontal="left" vertical="center"/>
    </xf>
    <xf numFmtId="1" fontId="32" fillId="2" borderId="0" xfId="1" applyNumberFormat="1" applyFont="1" applyFill="1" applyAlignment="1">
      <alignment horizontal="center" vertical="center"/>
    </xf>
    <xf numFmtId="0" fontId="33" fillId="2" borderId="0" xfId="1" applyFont="1" applyFill="1" applyAlignment="1">
      <alignment horizontal="center" vertical="center"/>
    </xf>
    <xf numFmtId="0" fontId="3" fillId="12" borderId="0" xfId="1" applyFont="1" applyFill="1" applyAlignment="1">
      <alignment horizontal="center" vertical="center" wrapText="1"/>
    </xf>
    <xf numFmtId="0" fontId="22" fillId="5" borderId="0" xfId="1" applyFont="1" applyFill="1" applyAlignment="1">
      <alignment horizontal="left" vertical="center" wrapText="1"/>
    </xf>
    <xf numFmtId="0" fontId="11" fillId="2" borderId="1" xfId="1" applyFont="1" applyFill="1" applyBorder="1" applyAlignment="1">
      <alignment horizontal="center"/>
    </xf>
    <xf numFmtId="0" fontId="22" fillId="18" borderId="0" xfId="1" applyFont="1" applyFill="1" applyAlignment="1">
      <alignment horizontal="center" vertical="center" wrapText="1"/>
    </xf>
    <xf numFmtId="0" fontId="22" fillId="18" borderId="2" xfId="1" applyFont="1" applyFill="1" applyBorder="1" applyAlignment="1">
      <alignment horizontal="center" vertical="center" wrapText="1"/>
    </xf>
    <xf numFmtId="14" fontId="2" fillId="2" borderId="0" xfId="1" applyNumberFormat="1" applyFont="1" applyFill="1" applyAlignment="1">
      <alignment horizontal="center" vertical="center"/>
    </xf>
    <xf numFmtId="0" fontId="2" fillId="9" borderId="0" xfId="1" applyFont="1" applyFill="1" applyAlignment="1">
      <alignment horizontal="center"/>
    </xf>
    <xf numFmtId="164" fontId="2" fillId="9" borderId="0" xfId="2" applyNumberFormat="1" applyFont="1" applyFill="1" applyAlignment="1">
      <alignment horizontal="center" vertical="center"/>
    </xf>
    <xf numFmtId="0" fontId="2" fillId="2" borderId="0" xfId="1" applyFont="1" applyFill="1" applyAlignment="1">
      <alignment wrapText="1"/>
    </xf>
    <xf numFmtId="0" fontId="11" fillId="2" borderId="8" xfId="1" applyFont="1" applyFill="1" applyBorder="1" applyAlignment="1">
      <alignment horizontal="center"/>
    </xf>
    <xf numFmtId="0" fontId="34" fillId="19" borderId="15" xfId="1" applyFont="1" applyFill="1" applyBorder="1" applyAlignment="1">
      <alignment horizontal="center" vertical="center" wrapText="1"/>
    </xf>
    <xf numFmtId="0" fontId="34" fillId="19" borderId="7" xfId="1" applyFont="1" applyFill="1" applyBorder="1" applyAlignment="1">
      <alignment horizontal="center" vertical="center" wrapText="1"/>
    </xf>
    <xf numFmtId="0" fontId="34" fillId="19" borderId="0" xfId="1" applyFont="1" applyFill="1" applyAlignment="1">
      <alignment horizontal="center" vertical="center" wrapText="1"/>
    </xf>
    <xf numFmtId="0" fontId="34" fillId="19" borderId="16" xfId="1" applyFont="1" applyFill="1" applyBorder="1" applyAlignment="1">
      <alignment horizontal="center" vertical="center" wrapText="1"/>
    </xf>
    <xf numFmtId="0" fontId="2" fillId="9" borderId="0" xfId="1" applyFont="1" applyFill="1" applyAlignment="1">
      <alignment horizontal="center" wrapText="1"/>
    </xf>
    <xf numFmtId="0" fontId="3" fillId="0" borderId="0" xfId="1" applyFont="1" applyAlignment="1">
      <alignment horizontal="center"/>
    </xf>
    <xf numFmtId="0" fontId="3" fillId="9" borderId="0" xfId="1" applyFont="1" applyFill="1" applyAlignment="1">
      <alignment vertical="center" wrapText="1"/>
    </xf>
    <xf numFmtId="0" fontId="2" fillId="9" borderId="0" xfId="1" applyFont="1" applyFill="1" applyAlignment="1">
      <alignment horizontal="center" vertical="center" wrapText="1"/>
    </xf>
    <xf numFmtId="0" fontId="3" fillId="9" borderId="0" xfId="1" applyFont="1" applyFill="1" applyAlignment="1">
      <alignment wrapText="1"/>
    </xf>
  </cellXfs>
  <cellStyles count="4">
    <cellStyle name="Moneda 2" xfId="2" xr:uid="{16691F06-9F5C-0A4F-95EB-3D6255EB2A9C}"/>
    <cellStyle name="Normal" xfId="0" builtinId="0"/>
    <cellStyle name="Normal 2" xfId="1" xr:uid="{2A651B59-ABFE-3D4E-B098-9296BA0B4560}"/>
    <cellStyle name="Porcentaje 2" xfId="3" xr:uid="{7DF278DB-5F56-7A44-B363-82FCA527207D}"/>
  </cellStyles>
  <dxfs count="5">
    <dxf>
      <font>
        <b/>
        <i val="0"/>
      </font>
      <fill>
        <patternFill>
          <bgColor rgb="FF92D050"/>
        </patternFill>
      </fill>
    </dxf>
    <dxf>
      <font>
        <b/>
        <i val="0"/>
      </font>
      <fill>
        <patternFill>
          <bgColor rgb="FFFFFF00"/>
        </patternFill>
      </fill>
    </dxf>
    <dxf>
      <font>
        <b/>
        <i val="0"/>
        <color theme="0"/>
      </font>
      <fill>
        <patternFill>
          <bgColor rgb="FFFF5050"/>
        </patternFill>
      </fill>
    </dxf>
    <dxf>
      <font>
        <b/>
        <i val="0"/>
        <color theme="0"/>
      </font>
      <fill>
        <patternFill patternType="solid">
          <bgColor theme="1"/>
        </patternFill>
      </fill>
    </dxf>
    <dxf>
      <font>
        <b/>
        <i val="0"/>
        <color theme="0"/>
      </font>
      <fill>
        <patternFill patternType="solid">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laudia Oliden" id="{8167AB7C-94AF-6A49-9F5E-49B818C323E3}" userId="c2ez43@linde.com" providerId="PeoplePicker"/>
  <person displayName="Manuel Lozoya" id="{6735D7E5-4B2C-5241-A613-123A34B3F28F}" userId="S::b1vx70@linde.com::3436820f-469a-4450-8d7a-1f74208a1183" providerId="AD"/>
  <person displayName="Mayela Ramirez" id="{D990C83D-6671-F047-8089-FE71B07B5C43}" userId="S::b3ef86@linde.com::75876de6-157c-425a-aa9e-b784cd351174" providerId="AD"/>
  <person displayName="Claudia Oliden" id="{39E15364-82CF-3C40-AB43-B702D9E0F18D}" userId="S::c2ez43@linde.com::dc2fe8c6-faa7-4f6c-8991-74f394ebaa0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K8" dT="2025-02-06T01:33:28.68" personId="{6735D7E5-4B2C-5241-A613-123A34B3F28F}" id="{4090EB39-9261-5843-BBCA-CBD5DC348CF9}">
    <text>Validar con Civoney</text>
  </threadedComment>
  <threadedComment ref="AR76" dT="2025-02-26T21:41:08.08" personId="{D990C83D-6671-F047-8089-FE71B07B5C43}" id="{3E52F909-B739-4A4A-AB99-F535504F1F07}">
    <text xml:space="preserve">Estos comentarios no coinciden con la descripción. Este proyecto es para que los pacientes nos den su geoposición, no para nosotros geoposicionarlos. Son soluciones distintas. @Claudia Oliden </text>
    <mentions>
      <mention mentionpersonId="{8167AB7C-94AF-6A49-9F5E-49B818C323E3}" mentionId="{4FB28853-480B-3742-9752-82721667B840}" startIndex="176" length="15"/>
    </mentions>
  </threadedComment>
  <threadedComment ref="S107" dT="2024-12-16T14:07:11.95" personId="{39E15364-82CF-3C40-AB43-B702D9E0F18D}" id="{32947DFB-9E64-774E-AC67-B6C3B1B7BDB6}">
    <text>Diego comenta que este proyecto no es de jessica sino de él.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612-9725-F149-AC4D-20E632383AF6}">
  <sheetPr>
    <pageSetUpPr fitToPage="1"/>
  </sheetPr>
  <dimension ref="A1:FQ1048571"/>
  <sheetViews>
    <sheetView showGridLines="0" tabSelected="1" zoomScaleNormal="100" workbookViewId="0">
      <pane ySplit="4" topLeftCell="A5" activePane="bottomLeft" state="frozen"/>
      <selection pane="bottomLeft" activeCell="B6" sqref="B6"/>
    </sheetView>
  </sheetViews>
  <sheetFormatPr baseColWidth="10" defaultColWidth="8.5" defaultRowHeight="16" outlineLevelCol="4"/>
  <cols>
    <col min="1" max="1" width="7.1640625" style="7" customWidth="1"/>
    <col min="2" max="2" width="11.5" style="7" customWidth="1"/>
    <col min="3" max="3" width="11.5" style="15" customWidth="1"/>
    <col min="4" max="4" width="9.1640625" style="7" customWidth="1"/>
    <col min="5" max="5" width="35.5" style="14" customWidth="1"/>
    <col min="6" max="6" width="65.1640625" style="13" customWidth="1"/>
    <col min="7" max="7" width="57.83203125" style="13" customWidth="1"/>
    <col min="8" max="8" width="22" style="7" customWidth="1" outlineLevel="1"/>
    <col min="9" max="9" width="8.5" style="12" customWidth="1"/>
    <col min="10" max="10" width="10.83203125" style="12" customWidth="1"/>
    <col min="11" max="11" width="14.5" style="11" customWidth="1"/>
    <col min="12" max="12" width="14.83203125" style="11" customWidth="1" outlineLevel="1"/>
    <col min="13" max="13" width="16.1640625" style="10" customWidth="1" outlineLevel="4"/>
    <col min="14" max="14" width="18.1640625" style="10" customWidth="1" outlineLevel="4"/>
    <col min="15" max="15" width="14.5" style="3" customWidth="1"/>
    <col min="16" max="16" width="14.1640625" style="3" customWidth="1" outlineLevel="1"/>
    <col min="17" max="17" width="14.1640625" style="7" customWidth="1" outlineLevel="1"/>
    <col min="18" max="18" width="14.5" style="3" customWidth="1" outlineLevel="1" collapsed="1"/>
    <col min="19" max="19" width="15" style="9" customWidth="1"/>
    <col min="20" max="20" width="15.1640625" style="9" customWidth="1"/>
    <col min="21" max="21" width="14.5" style="9" customWidth="1" outlineLevel="2"/>
    <col min="22" max="22" width="13.5" style="7" customWidth="1" outlineLevel="2"/>
    <col min="23" max="23" width="14.83203125" style="9" customWidth="1" outlineLevel="2"/>
    <col min="24" max="24" width="10.83203125" style="3" customWidth="1" outlineLevel="2"/>
    <col min="25" max="25" width="19.5" style="3" customWidth="1" outlineLevel="2"/>
    <col min="26" max="26" width="16.1640625" style="9" customWidth="1" outlineLevel="2"/>
    <col min="27" max="27" width="17.5" style="3" customWidth="1" outlineLevel="1"/>
    <col min="28" max="28" width="13.5" style="3" customWidth="1" outlineLevel="1"/>
    <col min="29" max="29" width="15" style="3" customWidth="1" outlineLevel="1"/>
    <col min="30" max="30" width="15.5" style="3" customWidth="1" outlineLevel="1"/>
    <col min="31" max="31" width="26" style="3" customWidth="1" outlineLevel="1"/>
    <col min="32" max="32" width="15" style="3" customWidth="1" outlineLevel="1"/>
    <col min="33" max="33" width="13.5" style="3" customWidth="1" outlineLevel="1"/>
    <col min="34" max="34" width="10" style="3" customWidth="1" outlineLevel="1"/>
    <col min="35" max="35" width="15.1640625" style="7" customWidth="1" outlineLevel="1"/>
    <col min="36" max="36" width="21" style="7" customWidth="1" outlineLevel="1"/>
    <col min="37" max="37" width="31.5" style="7" customWidth="1" outlineLevel="1"/>
    <col min="38" max="38" width="15.1640625" style="7" customWidth="1" outlineLevel="1"/>
    <col min="39" max="39" width="22.1640625" style="7" customWidth="1" outlineLevel="1"/>
    <col min="40" max="41" width="15.1640625" style="7" customWidth="1" outlineLevel="1"/>
    <col min="42" max="42" width="13.5" style="8" customWidth="1" outlineLevel="1" collapsed="1"/>
    <col min="43" max="43" width="13.5" style="7" customWidth="1" outlineLevel="1"/>
    <col min="44" max="44" width="47.33203125" style="6" customWidth="1"/>
    <col min="45" max="45" width="32.6640625" style="5" customWidth="1"/>
    <col min="46" max="46" width="31.83203125" style="4" customWidth="1"/>
    <col min="47" max="47" width="23.5" style="3" customWidth="1"/>
    <col min="48" max="49" width="25.5" style="3" customWidth="1"/>
    <col min="50" max="55" width="18.5" style="3" customWidth="1" outlineLevel="1"/>
    <col min="56" max="58" width="18.5" style="3" customWidth="1"/>
    <col min="59" max="59" width="32.5" style="2" customWidth="1"/>
    <col min="60" max="60" width="44.1640625" style="1" customWidth="1"/>
    <col min="61" max="83" width="26.5" style="1" customWidth="1"/>
    <col min="84" max="16384" width="8.5" style="1"/>
  </cols>
  <sheetData>
    <row r="1" spans="1:173" ht="25.5" customHeight="1">
      <c r="A1" s="11"/>
      <c r="E1" s="12"/>
      <c r="F1" s="268"/>
      <c r="G1" s="268"/>
      <c r="H1" s="11"/>
      <c r="I1" s="268"/>
      <c r="J1" s="268"/>
      <c r="K1" s="267"/>
      <c r="L1" s="266"/>
      <c r="M1" s="265"/>
      <c r="O1" s="256"/>
      <c r="P1" s="2"/>
      <c r="Q1" s="11"/>
      <c r="R1" s="2"/>
      <c r="S1" s="264"/>
      <c r="T1" s="264"/>
      <c r="U1" s="264"/>
      <c r="V1" s="11"/>
      <c r="W1" s="246"/>
      <c r="X1" s="2"/>
      <c r="Y1" s="2"/>
      <c r="Z1" s="246"/>
      <c r="AA1" s="263" t="s">
        <v>1189</v>
      </c>
      <c r="AB1" s="262"/>
      <c r="AC1" s="262"/>
      <c r="AD1" s="262"/>
      <c r="AE1" s="262"/>
      <c r="AF1" s="262"/>
      <c r="AG1" s="262"/>
      <c r="AH1" s="245" t="s">
        <v>1134</v>
      </c>
      <c r="AI1" s="261" t="s">
        <v>1188</v>
      </c>
      <c r="AJ1" s="260"/>
      <c r="AK1" s="260"/>
      <c r="AL1" s="260"/>
      <c r="AM1" s="260"/>
      <c r="AN1" s="260"/>
      <c r="AO1" s="260"/>
      <c r="AP1" s="259" t="s">
        <v>1127</v>
      </c>
      <c r="AQ1" s="259" t="s">
        <v>1126</v>
      </c>
      <c r="AR1" s="258"/>
      <c r="AT1" s="257"/>
      <c r="AU1" s="256"/>
      <c r="AV1" s="256"/>
      <c r="AW1" s="256"/>
      <c r="AX1" s="256"/>
      <c r="AY1" s="256"/>
      <c r="AZ1" s="256"/>
      <c r="BA1" s="256"/>
      <c r="BB1" s="256"/>
      <c r="BC1" s="256"/>
      <c r="BD1" s="256"/>
      <c r="BE1" s="256"/>
      <c r="BF1" s="256"/>
    </row>
    <row r="2" spans="1:173" ht="25.5" customHeight="1">
      <c r="A2" s="11"/>
      <c r="H2" s="11"/>
      <c r="K2" s="255">
        <v>45930</v>
      </c>
      <c r="O2" s="2"/>
      <c r="P2" s="2" t="s">
        <v>1187</v>
      </c>
      <c r="Q2" s="11"/>
      <c r="R2" s="2"/>
      <c r="S2" s="246"/>
      <c r="T2" s="246"/>
      <c r="U2" s="246"/>
      <c r="V2" s="11"/>
      <c r="W2" s="246"/>
      <c r="X2" s="2"/>
      <c r="Y2" s="2"/>
      <c r="Z2" s="246"/>
      <c r="AA2" s="254">
        <v>15</v>
      </c>
      <c r="AB2" s="254">
        <v>15</v>
      </c>
      <c r="AC2" s="254">
        <v>15</v>
      </c>
      <c r="AD2" s="254">
        <v>15</v>
      </c>
      <c r="AE2" s="254">
        <v>15</v>
      </c>
      <c r="AF2" s="254">
        <v>15</v>
      </c>
      <c r="AG2" s="254">
        <v>15</v>
      </c>
      <c r="AH2" s="245"/>
      <c r="AI2" s="253">
        <v>15</v>
      </c>
      <c r="AJ2" s="253">
        <v>15</v>
      </c>
      <c r="AK2" s="253">
        <v>15</v>
      </c>
      <c r="AL2" s="253">
        <v>15</v>
      </c>
      <c r="AM2" s="253">
        <v>15</v>
      </c>
      <c r="AN2" s="253">
        <v>15</v>
      </c>
      <c r="AO2" s="253">
        <v>15</v>
      </c>
      <c r="AP2" s="252"/>
      <c r="AQ2" s="252"/>
    </row>
    <row r="3" spans="1:173" ht="64" customHeight="1" thickBot="1">
      <c r="A3" s="11"/>
      <c r="F3" s="251" t="s">
        <v>1186</v>
      </c>
      <c r="G3" s="251"/>
      <c r="H3" s="11"/>
      <c r="I3" s="250" t="s">
        <v>1185</v>
      </c>
      <c r="J3" s="249" t="s">
        <v>1184</v>
      </c>
      <c r="K3" s="248">
        <f ca="1">SUBTOTAL(101,K5:K199)</f>
        <v>159.88461538461539</v>
      </c>
      <c r="L3" s="248"/>
      <c r="M3" s="247" t="s">
        <v>1183</v>
      </c>
      <c r="O3" s="2"/>
      <c r="P3" s="2"/>
      <c r="Q3" s="11"/>
      <c r="R3" s="2"/>
      <c r="S3" s="246"/>
      <c r="T3" s="246"/>
      <c r="U3" s="246"/>
      <c r="V3" s="11"/>
      <c r="W3" s="246"/>
      <c r="X3" s="2"/>
      <c r="Y3" s="2"/>
      <c r="Z3" s="246"/>
      <c r="AA3" s="23" t="s">
        <v>1182</v>
      </c>
      <c r="AB3" s="23" t="s">
        <v>1181</v>
      </c>
      <c r="AC3" s="23" t="s">
        <v>1180</v>
      </c>
      <c r="AD3" s="23" t="s">
        <v>1179</v>
      </c>
      <c r="AE3" s="23" t="s">
        <v>1178</v>
      </c>
      <c r="AF3" s="23" t="s">
        <v>1177</v>
      </c>
      <c r="AG3" s="21" t="s">
        <v>1176</v>
      </c>
      <c r="AH3" s="245"/>
      <c r="AI3" s="23" t="s">
        <v>1175</v>
      </c>
      <c r="AJ3" s="23" t="s">
        <v>1174</v>
      </c>
      <c r="AK3" s="23" t="s">
        <v>1173</v>
      </c>
      <c r="AL3" s="23" t="s">
        <v>1172</v>
      </c>
      <c r="AM3" s="23" t="s">
        <v>1171</v>
      </c>
      <c r="AN3" s="244" t="s">
        <v>1170</v>
      </c>
      <c r="AO3" s="244" t="s">
        <v>1169</v>
      </c>
      <c r="AP3" s="243"/>
      <c r="AQ3" s="243"/>
      <c r="AT3" s="242" t="s">
        <v>1168</v>
      </c>
      <c r="AU3" s="241"/>
      <c r="AV3" s="241"/>
      <c r="AW3" s="239"/>
      <c r="AX3" s="240">
        <f>SUBTOTAL(9,AX5:AX198)</f>
        <v>12389</v>
      </c>
      <c r="AY3" s="240">
        <f>SUBTOTAL(9,AY5:AY198)</f>
        <v>42193</v>
      </c>
      <c r="AZ3" s="240">
        <f>SUBTOTAL(9,AZ5:AZ198)</f>
        <v>39378</v>
      </c>
      <c r="BA3" s="240">
        <f>SUBTOTAL(9,BA5:BA198)</f>
        <v>11000</v>
      </c>
      <c r="BB3" s="240">
        <f>SUBTOTAL(9,BB5:BB198)</f>
        <v>6000</v>
      </c>
      <c r="BC3" s="240">
        <f>SUBTOTAL(9,BC5:BC198)</f>
        <v>0</v>
      </c>
      <c r="BD3" s="240">
        <f>SUBTOTAL(9,BD5:BD198)</f>
        <v>110960</v>
      </c>
      <c r="BE3" s="239"/>
      <c r="BF3" s="239"/>
    </row>
    <row r="4" spans="1:173" s="214" customFormat="1" ht="70" customHeight="1">
      <c r="A4" s="238" t="s">
        <v>1167</v>
      </c>
      <c r="B4" s="21" t="s">
        <v>1166</v>
      </c>
      <c r="C4" s="237" t="s">
        <v>1165</v>
      </c>
      <c r="D4" s="237" t="s">
        <v>1164</v>
      </c>
      <c r="E4" s="236" t="s">
        <v>1163</v>
      </c>
      <c r="F4" s="236" t="s">
        <v>1162</v>
      </c>
      <c r="G4" s="235" t="s">
        <v>1161</v>
      </c>
      <c r="H4" s="234" t="s">
        <v>1160</v>
      </c>
      <c r="I4" s="232" t="s">
        <v>1159</v>
      </c>
      <c r="J4" s="232" t="s">
        <v>1158</v>
      </c>
      <c r="K4" s="233" t="s">
        <v>1157</v>
      </c>
      <c r="L4" s="229" t="s">
        <v>1156</v>
      </c>
      <c r="M4" s="232" t="s">
        <v>1155</v>
      </c>
      <c r="N4" s="231" t="s">
        <v>1154</v>
      </c>
      <c r="O4" s="230" t="s">
        <v>1153</v>
      </c>
      <c r="P4" s="229" t="s">
        <v>1152</v>
      </c>
      <c r="Q4" s="228" t="s">
        <v>1151</v>
      </c>
      <c r="R4" s="227" t="s">
        <v>1150</v>
      </c>
      <c r="S4" s="226" t="s">
        <v>1149</v>
      </c>
      <c r="T4" s="226" t="s">
        <v>1148</v>
      </c>
      <c r="U4" s="225" t="s">
        <v>1147</v>
      </c>
      <c r="V4" s="225" t="s">
        <v>1146</v>
      </c>
      <c r="W4" s="225" t="s">
        <v>1145</v>
      </c>
      <c r="X4" s="225" t="s">
        <v>1144</v>
      </c>
      <c r="Y4" s="225" t="s">
        <v>1143</v>
      </c>
      <c r="Z4" s="225" t="s">
        <v>1142</v>
      </c>
      <c r="AA4" s="74" t="s">
        <v>1141</v>
      </c>
      <c r="AB4" s="74" t="s">
        <v>1140</v>
      </c>
      <c r="AC4" s="74" t="s">
        <v>1139</v>
      </c>
      <c r="AD4" s="74" t="s">
        <v>1138</v>
      </c>
      <c r="AE4" s="74" t="s">
        <v>1137</v>
      </c>
      <c r="AF4" s="74" t="s">
        <v>1136</v>
      </c>
      <c r="AG4" s="74" t="s">
        <v>1135</v>
      </c>
      <c r="AH4" s="74" t="s">
        <v>1134</v>
      </c>
      <c r="AI4" s="74" t="s">
        <v>1133</v>
      </c>
      <c r="AJ4" s="74" t="s">
        <v>1132</v>
      </c>
      <c r="AK4" s="79" t="s">
        <v>1131</v>
      </c>
      <c r="AL4" s="74" t="s">
        <v>1130</v>
      </c>
      <c r="AM4" s="74" t="s">
        <v>1129</v>
      </c>
      <c r="AN4" s="74" t="s">
        <v>1128</v>
      </c>
      <c r="AO4" s="224" t="s">
        <v>1128</v>
      </c>
      <c r="AP4" s="223" t="s">
        <v>1127</v>
      </c>
      <c r="AQ4" s="223" t="s">
        <v>1126</v>
      </c>
      <c r="AR4" s="222" t="s">
        <v>1125</v>
      </c>
      <c r="AS4" s="221" t="s">
        <v>1124</v>
      </c>
      <c r="AT4" s="217" t="s">
        <v>1123</v>
      </c>
      <c r="AU4" s="220" t="s">
        <v>1122</v>
      </c>
      <c r="AV4" s="219" t="s">
        <v>1121</v>
      </c>
      <c r="AW4" s="219" t="s">
        <v>1120</v>
      </c>
      <c r="AX4" s="218">
        <v>45839</v>
      </c>
      <c r="AY4" s="218">
        <v>45870</v>
      </c>
      <c r="AZ4" s="218">
        <v>45901</v>
      </c>
      <c r="BA4" s="218">
        <v>45931</v>
      </c>
      <c r="BB4" s="218">
        <v>45962</v>
      </c>
      <c r="BC4" s="218">
        <v>45992</v>
      </c>
      <c r="BD4" s="217" t="s">
        <v>1119</v>
      </c>
      <c r="BE4" s="217" t="s">
        <v>1118</v>
      </c>
      <c r="BF4" s="217" t="s">
        <v>1117</v>
      </c>
      <c r="BG4" s="216" t="s">
        <v>1116</v>
      </c>
      <c r="BH4" s="215" t="s">
        <v>1115</v>
      </c>
    </row>
    <row r="5" spans="1:173" s="11" customFormat="1" ht="100" customHeight="1">
      <c r="A5" s="21" t="s">
        <v>1114</v>
      </c>
      <c r="B5" s="21">
        <v>7</v>
      </c>
      <c r="C5" s="21" t="s">
        <v>1113</v>
      </c>
      <c r="D5" s="173"/>
      <c r="E5" s="69" t="s">
        <v>1112</v>
      </c>
      <c r="F5" s="69" t="s">
        <v>1111</v>
      </c>
      <c r="G5" s="69" t="s">
        <v>1110</v>
      </c>
      <c r="H5" s="29" t="s">
        <v>502</v>
      </c>
      <c r="I5" s="73">
        <v>45301</v>
      </c>
      <c r="J5" s="73">
        <v>45658</v>
      </c>
      <c r="K5" s="184">
        <f>J5-I5</f>
        <v>357</v>
      </c>
      <c r="L5" s="47" t="s">
        <v>14</v>
      </c>
      <c r="M5" s="26" t="s">
        <v>60</v>
      </c>
      <c r="N5" s="26" t="s">
        <v>59</v>
      </c>
      <c r="O5" s="23" t="s">
        <v>50</v>
      </c>
      <c r="P5" s="23" t="s">
        <v>58</v>
      </c>
      <c r="Q5" s="170" t="s">
        <v>129</v>
      </c>
      <c r="R5" s="23" t="s">
        <v>8</v>
      </c>
      <c r="S5" s="23" t="s">
        <v>210</v>
      </c>
      <c r="T5" s="23" t="s">
        <v>1109</v>
      </c>
      <c r="U5" s="170" t="s">
        <v>1108</v>
      </c>
      <c r="V5" s="23" t="s">
        <v>184</v>
      </c>
      <c r="W5" s="22" t="s">
        <v>138</v>
      </c>
      <c r="X5" s="21" t="s">
        <v>5</v>
      </c>
      <c r="Y5" s="21" t="s">
        <v>4</v>
      </c>
      <c r="Z5" s="23" t="s">
        <v>18</v>
      </c>
      <c r="AA5" s="21">
        <v>3</v>
      </c>
      <c r="AB5" s="21">
        <v>5</v>
      </c>
      <c r="AC5" s="21">
        <v>1</v>
      </c>
      <c r="AD5" s="21">
        <v>5</v>
      </c>
      <c r="AE5" s="21">
        <v>5</v>
      </c>
      <c r="AF5" s="21">
        <v>3</v>
      </c>
      <c r="AG5" s="21">
        <v>3</v>
      </c>
      <c r="AH5" s="22">
        <f>(AA5*$AA$2)+(AB5*$AB$2)+(AC5*$AC$2)+(AD5*$AD$2)+(AE5*$AE$2)+(AF5*$AF$2)+(AG5*$AG$2)</f>
        <v>375</v>
      </c>
      <c r="AI5" s="21">
        <v>5</v>
      </c>
      <c r="AJ5" s="21">
        <v>5</v>
      </c>
      <c r="AK5" s="21">
        <v>3</v>
      </c>
      <c r="AL5" s="21">
        <v>5</v>
      </c>
      <c r="AM5" s="21">
        <v>5</v>
      </c>
      <c r="AN5" s="21">
        <v>5</v>
      </c>
      <c r="AO5" s="21">
        <v>5</v>
      </c>
      <c r="AP5" s="21">
        <f>(AI5*$AI$2)+(AJ5*$AJ$2)+(AK5*$AK$2)+(AL5*$AL$2)+(AM5*$AM$2)+(AN5*$AN$2)+(AO5*$AO$2)</f>
        <v>495</v>
      </c>
      <c r="AQ5" s="21">
        <f>AP5+AH5</f>
        <v>870</v>
      </c>
      <c r="AR5" s="80" t="s">
        <v>1107</v>
      </c>
      <c r="AS5" s="80" t="s">
        <v>58</v>
      </c>
      <c r="AT5" s="23" t="s">
        <v>633</v>
      </c>
      <c r="AU5" s="169"/>
      <c r="AV5" s="23" t="s">
        <v>374</v>
      </c>
      <c r="AW5" s="23"/>
      <c r="AX5" s="23">
        <v>0</v>
      </c>
      <c r="AY5" s="23">
        <v>0</v>
      </c>
      <c r="AZ5" s="23">
        <v>0</v>
      </c>
      <c r="BA5" s="23">
        <v>0</v>
      </c>
      <c r="BB5" s="23">
        <v>0</v>
      </c>
      <c r="BC5" s="23"/>
      <c r="BD5" s="52">
        <f>SUM(AX5:BC5)</f>
        <v>0</v>
      </c>
      <c r="BE5" s="169"/>
      <c r="BF5" s="17"/>
      <c r="BG5" s="16" t="s">
        <v>58</v>
      </c>
      <c r="BH5" s="51"/>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c r="EL5" s="50"/>
      <c r="EM5" s="50"/>
      <c r="EN5" s="50"/>
      <c r="EO5" s="50"/>
      <c r="EP5" s="50"/>
      <c r="EQ5" s="50"/>
      <c r="ER5" s="50"/>
      <c r="ES5" s="50"/>
      <c r="ET5" s="50"/>
      <c r="EU5" s="50"/>
      <c r="EV5" s="50"/>
      <c r="EW5" s="50"/>
      <c r="EX5" s="50"/>
      <c r="EY5" s="50"/>
      <c r="EZ5" s="50"/>
      <c r="FA5" s="50"/>
      <c r="FB5" s="50"/>
      <c r="FC5" s="50"/>
      <c r="FD5" s="50"/>
      <c r="FE5" s="50"/>
      <c r="FF5" s="50"/>
      <c r="FG5" s="50"/>
      <c r="FH5" s="50"/>
      <c r="FI5" s="50"/>
      <c r="FJ5" s="50"/>
      <c r="FK5" s="50"/>
      <c r="FL5" s="50"/>
      <c r="FM5" s="50"/>
      <c r="FN5" s="50"/>
      <c r="FO5" s="50"/>
      <c r="FP5" s="50"/>
      <c r="FQ5" s="50"/>
    </row>
    <row r="6" spans="1:173" s="104" customFormat="1" ht="77.5" customHeight="1">
      <c r="A6" s="21"/>
      <c r="B6" s="21">
        <v>90</v>
      </c>
      <c r="C6" s="32"/>
      <c r="D6" s="173">
        <v>30619</v>
      </c>
      <c r="E6" s="69" t="s">
        <v>1106</v>
      </c>
      <c r="F6" s="69" t="s">
        <v>1105</v>
      </c>
      <c r="G6" s="69" t="s">
        <v>964</v>
      </c>
      <c r="H6" s="29">
        <v>45717</v>
      </c>
      <c r="I6" s="73">
        <v>45350</v>
      </c>
      <c r="J6" s="73">
        <v>45839</v>
      </c>
      <c r="K6" s="184">
        <f>J6-I6</f>
        <v>489</v>
      </c>
      <c r="L6" s="47" t="s">
        <v>14</v>
      </c>
      <c r="M6" s="67" t="s">
        <v>6</v>
      </c>
      <c r="N6" s="25"/>
      <c r="O6" s="23" t="s">
        <v>69</v>
      </c>
      <c r="P6" s="23" t="s">
        <v>58</v>
      </c>
      <c r="Q6" s="170" t="s">
        <v>44</v>
      </c>
      <c r="R6" s="23"/>
      <c r="S6" s="23" t="s">
        <v>92</v>
      </c>
      <c r="T6" s="134" t="s">
        <v>92</v>
      </c>
      <c r="U6" s="170" t="s">
        <v>1104</v>
      </c>
      <c r="V6" s="23" t="s">
        <v>163</v>
      </c>
      <c r="W6" s="23"/>
      <c r="X6" s="21" t="s">
        <v>5</v>
      </c>
      <c r="Y6" s="21" t="s">
        <v>42</v>
      </c>
      <c r="Z6" s="23" t="s">
        <v>3</v>
      </c>
      <c r="AA6" s="21">
        <v>3</v>
      </c>
      <c r="AB6" s="21">
        <v>5</v>
      </c>
      <c r="AC6" s="21">
        <v>2</v>
      </c>
      <c r="AD6" s="21">
        <v>5</v>
      </c>
      <c r="AE6" s="21">
        <v>0</v>
      </c>
      <c r="AF6" s="21">
        <v>3</v>
      </c>
      <c r="AG6" s="21">
        <v>3</v>
      </c>
      <c r="AH6" s="22">
        <f>(AA6*$AA$2)+(AB6*$AB$2)+(AC6*$AC$2)+(AD6*$AD$2)+(AE6*$AE$2)+(AF6*$AF$2)+(AG6*$AG$2)</f>
        <v>315</v>
      </c>
      <c r="AI6" s="21">
        <v>5</v>
      </c>
      <c r="AJ6" s="21">
        <v>5</v>
      </c>
      <c r="AK6" s="21">
        <v>2</v>
      </c>
      <c r="AL6" s="21">
        <v>5</v>
      </c>
      <c r="AM6" s="21">
        <v>3</v>
      </c>
      <c r="AN6" s="21">
        <v>3</v>
      </c>
      <c r="AO6" s="21">
        <v>3</v>
      </c>
      <c r="AP6" s="21">
        <f>(AI6*$AI$2)+(AJ6*$AJ$2)+(AK6*$AK$2)+(AL6*$AL$2)+(AM6*$AM$2)+(AN6*$AN$2)+(AO6*$AO$2)</f>
        <v>390</v>
      </c>
      <c r="AQ6" s="21">
        <f>AP6+AH6</f>
        <v>705</v>
      </c>
      <c r="AR6" s="186" t="s">
        <v>1103</v>
      </c>
      <c r="AS6" s="152" t="s">
        <v>1102</v>
      </c>
      <c r="AT6" s="23" t="s">
        <v>873</v>
      </c>
      <c r="AU6" s="169"/>
      <c r="AV6" s="23" t="s">
        <v>374</v>
      </c>
      <c r="AW6" s="17"/>
      <c r="AX6" s="17"/>
      <c r="AY6" s="17"/>
      <c r="AZ6" s="17"/>
      <c r="BA6" s="17"/>
      <c r="BB6" s="17"/>
      <c r="BC6" s="17"/>
      <c r="BD6" s="52">
        <f>SUM(AX6:BC6)</f>
        <v>0</v>
      </c>
      <c r="BE6" s="169"/>
      <c r="BF6" s="17"/>
      <c r="BG6" s="16" t="s">
        <v>58</v>
      </c>
      <c r="BH6" s="51" t="s">
        <v>1088</v>
      </c>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213"/>
    </row>
    <row r="7" spans="1:173" ht="69.5" customHeight="1">
      <c r="A7" s="21"/>
      <c r="B7" s="21">
        <v>75</v>
      </c>
      <c r="C7" s="32"/>
      <c r="D7" s="21">
        <v>19155</v>
      </c>
      <c r="E7" s="69" t="s">
        <v>1101</v>
      </c>
      <c r="F7" s="69" t="s">
        <v>1100</v>
      </c>
      <c r="G7" s="69" t="s">
        <v>1099</v>
      </c>
      <c r="H7" s="29">
        <v>45689</v>
      </c>
      <c r="I7" s="73">
        <v>45412</v>
      </c>
      <c r="J7" s="73">
        <v>45870</v>
      </c>
      <c r="K7" s="54">
        <f>J7-I7</f>
        <v>458</v>
      </c>
      <c r="L7" s="47" t="s">
        <v>14</v>
      </c>
      <c r="M7" s="26" t="s">
        <v>38</v>
      </c>
      <c r="N7" s="26"/>
      <c r="O7" s="23" t="s">
        <v>69</v>
      </c>
      <c r="P7" s="23" t="s">
        <v>58</v>
      </c>
      <c r="Q7" s="23" t="s">
        <v>1098</v>
      </c>
      <c r="R7" s="23"/>
      <c r="S7" s="23" t="s">
        <v>378</v>
      </c>
      <c r="T7" s="23" t="s">
        <v>378</v>
      </c>
      <c r="U7" s="23" t="s">
        <v>1097</v>
      </c>
      <c r="V7" s="23" t="s">
        <v>66</v>
      </c>
      <c r="W7" s="22" t="s">
        <v>202</v>
      </c>
      <c r="X7" s="21" t="s">
        <v>5</v>
      </c>
      <c r="Y7" s="21" t="s">
        <v>42</v>
      </c>
      <c r="Z7" s="22" t="s">
        <v>18</v>
      </c>
      <c r="AA7" s="21">
        <v>3</v>
      </c>
      <c r="AB7" s="21">
        <v>5</v>
      </c>
      <c r="AC7" s="21">
        <v>2</v>
      </c>
      <c r="AD7" s="21">
        <v>5</v>
      </c>
      <c r="AE7" s="21">
        <v>1</v>
      </c>
      <c r="AF7" s="21">
        <v>1</v>
      </c>
      <c r="AG7" s="21">
        <v>3</v>
      </c>
      <c r="AH7" s="22">
        <f>(AA7*$AA$2)+(AB7*$AB$2)+(AC7*$AC$2)+(AD7*$AD$2)+(AE7*$AE$2)+(AF7*$AF$2)+(AG7*$AG$2)</f>
        <v>300</v>
      </c>
      <c r="AI7" s="21">
        <v>5</v>
      </c>
      <c r="AJ7" s="21">
        <v>5</v>
      </c>
      <c r="AK7" s="21">
        <v>2</v>
      </c>
      <c r="AL7" s="21">
        <v>5</v>
      </c>
      <c r="AM7" s="21">
        <v>3</v>
      </c>
      <c r="AN7" s="21">
        <v>3</v>
      </c>
      <c r="AO7" s="21">
        <v>5</v>
      </c>
      <c r="AP7" s="21">
        <f>(AI7*$AI$2)+(AJ7*$AJ$2)+(AK7*$AK$2)+(AL7*$AL$2)+(AM7*$AM$2)+(AN7*$AN$2)+(AO7*$AO$2)</f>
        <v>420</v>
      </c>
      <c r="AQ7" s="21">
        <f>AP7+AH7</f>
        <v>720</v>
      </c>
      <c r="AR7" s="88" t="s">
        <v>1096</v>
      </c>
      <c r="AS7" s="88" t="s">
        <v>1095</v>
      </c>
      <c r="AT7" s="23" t="s">
        <v>767</v>
      </c>
      <c r="AU7" s="17"/>
      <c r="AV7" s="23" t="s">
        <v>374</v>
      </c>
      <c r="AW7" s="17"/>
      <c r="AX7" s="17"/>
      <c r="AY7" s="17"/>
      <c r="AZ7" s="17"/>
      <c r="BA7" s="17"/>
      <c r="BB7" s="17"/>
      <c r="BC7" s="17"/>
      <c r="BD7" s="52">
        <f>SUM(AX7:BC7)</f>
        <v>0</v>
      </c>
      <c r="BE7" s="17"/>
      <c r="BF7" s="17"/>
      <c r="BG7" s="16" t="s">
        <v>58</v>
      </c>
      <c r="BH7" s="106" t="s">
        <v>1094</v>
      </c>
    </row>
    <row r="8" spans="1:173" s="50" customFormat="1" ht="46" customHeight="1">
      <c r="A8" s="161"/>
      <c r="B8" s="21">
        <v>91</v>
      </c>
      <c r="C8" s="32"/>
      <c r="D8" s="173">
        <v>30491</v>
      </c>
      <c r="E8" s="69" t="s">
        <v>1093</v>
      </c>
      <c r="F8" s="69" t="s">
        <v>1092</v>
      </c>
      <c r="G8" s="69"/>
      <c r="H8" s="29">
        <v>45689</v>
      </c>
      <c r="I8" s="73">
        <v>45300</v>
      </c>
      <c r="J8" s="73">
        <v>45748</v>
      </c>
      <c r="K8" s="184">
        <f>J8-I8</f>
        <v>448</v>
      </c>
      <c r="L8" s="47" t="s">
        <v>14</v>
      </c>
      <c r="M8" s="26" t="s">
        <v>60</v>
      </c>
      <c r="N8" s="26"/>
      <c r="O8" s="23" t="s">
        <v>69</v>
      </c>
      <c r="P8" s="23" t="s">
        <v>58</v>
      </c>
      <c r="Q8" s="170" t="s">
        <v>11</v>
      </c>
      <c r="R8" s="23" t="s">
        <v>163</v>
      </c>
      <c r="S8" s="23" t="s">
        <v>92</v>
      </c>
      <c r="T8" s="23" t="s">
        <v>92</v>
      </c>
      <c r="U8" s="170" t="s">
        <v>221</v>
      </c>
      <c r="V8" s="23" t="s">
        <v>1091</v>
      </c>
      <c r="W8" s="22" t="s">
        <v>523</v>
      </c>
      <c r="X8" s="21" t="s">
        <v>5</v>
      </c>
      <c r="Y8" s="21" t="s">
        <v>42</v>
      </c>
      <c r="Z8" s="23" t="s">
        <v>3</v>
      </c>
      <c r="AA8" s="21">
        <v>3</v>
      </c>
      <c r="AB8" s="21">
        <v>5</v>
      </c>
      <c r="AC8" s="21">
        <v>1</v>
      </c>
      <c r="AD8" s="21">
        <v>5</v>
      </c>
      <c r="AE8" s="21">
        <v>1</v>
      </c>
      <c r="AF8" s="21">
        <v>3</v>
      </c>
      <c r="AG8" s="21">
        <v>5</v>
      </c>
      <c r="AH8" s="22">
        <f>(AA8*$AA$2)+(AB8*$AB$2)+(AC8*$AC$2)+(AD8*$AD$2)+(AE8*$AE$2)+(AF8*$AF$2)+(AG8*$AG$2)</f>
        <v>345</v>
      </c>
      <c r="AI8" s="21">
        <v>5</v>
      </c>
      <c r="AJ8" s="21">
        <v>5</v>
      </c>
      <c r="AK8" s="21">
        <v>3</v>
      </c>
      <c r="AL8" s="21">
        <v>3</v>
      </c>
      <c r="AM8" s="21">
        <v>3</v>
      </c>
      <c r="AN8" s="21">
        <v>3</v>
      </c>
      <c r="AO8" s="21">
        <v>3</v>
      </c>
      <c r="AP8" s="21">
        <f>(AI8*$AI$2)+(AJ8*$AJ$2)+(AK8*$AK$2)+(AL8*$AL$2)+(AM8*$AM$2)+(AN8*$AN$2)+(AO8*$AO$2)</f>
        <v>375</v>
      </c>
      <c r="AQ8" s="23">
        <f>AP8+AH8</f>
        <v>720</v>
      </c>
      <c r="AR8" s="88" t="s">
        <v>1090</v>
      </c>
      <c r="AS8" s="80" t="s">
        <v>1089</v>
      </c>
      <c r="AT8" s="17" t="s">
        <v>820</v>
      </c>
      <c r="AU8" s="169"/>
      <c r="AV8" s="17" t="s">
        <v>820</v>
      </c>
      <c r="AW8" s="17"/>
      <c r="AX8" s="17"/>
      <c r="AY8" s="17"/>
      <c r="AZ8" s="17"/>
      <c r="BA8" s="17"/>
      <c r="BB8" s="17"/>
      <c r="BC8" s="17"/>
      <c r="BD8" s="52">
        <f>SUM(AX8:BC8)</f>
        <v>0</v>
      </c>
      <c r="BE8" s="169"/>
      <c r="BF8" s="17"/>
      <c r="BG8" s="16" t="s">
        <v>58</v>
      </c>
      <c r="BH8" s="51" t="s">
        <v>1088</v>
      </c>
    </row>
    <row r="9" spans="1:173" s="211" customFormat="1" ht="50.5" customHeight="1">
      <c r="A9" s="21"/>
      <c r="B9" s="21">
        <v>1</v>
      </c>
      <c r="C9" s="21" t="s">
        <v>1087</v>
      </c>
      <c r="D9" s="173"/>
      <c r="E9" s="69" t="s">
        <v>1086</v>
      </c>
      <c r="F9" s="69" t="s">
        <v>1085</v>
      </c>
      <c r="G9" s="69"/>
      <c r="H9" s="29">
        <v>45292</v>
      </c>
      <c r="I9" s="73">
        <v>44937</v>
      </c>
      <c r="J9" s="73">
        <v>45717</v>
      </c>
      <c r="K9" s="184">
        <f>J9-I9</f>
        <v>780</v>
      </c>
      <c r="L9" s="47" t="s">
        <v>14</v>
      </c>
      <c r="M9" s="26" t="s">
        <v>60</v>
      </c>
      <c r="N9" s="26" t="s">
        <v>59</v>
      </c>
      <c r="O9" s="23" t="s">
        <v>50</v>
      </c>
      <c r="P9" s="23" t="s">
        <v>58</v>
      </c>
      <c r="Q9" s="170" t="s">
        <v>129</v>
      </c>
      <c r="R9" s="23" t="s">
        <v>126</v>
      </c>
      <c r="S9" s="23" t="s">
        <v>37</v>
      </c>
      <c r="T9" s="23" t="s">
        <v>126</v>
      </c>
      <c r="U9" s="170" t="s">
        <v>560</v>
      </c>
      <c r="V9" s="23" t="s">
        <v>66</v>
      </c>
      <c r="W9" s="22" t="s">
        <v>481</v>
      </c>
      <c r="X9" s="21" t="s">
        <v>5</v>
      </c>
      <c r="Y9" s="23" t="s">
        <v>126</v>
      </c>
      <c r="Z9" s="22" t="s">
        <v>18</v>
      </c>
      <c r="AA9" s="22">
        <v>4</v>
      </c>
      <c r="AB9" s="22">
        <v>5</v>
      </c>
      <c r="AC9" s="22">
        <v>5</v>
      </c>
      <c r="AD9" s="22">
        <v>5</v>
      </c>
      <c r="AE9" s="22">
        <v>1</v>
      </c>
      <c r="AF9" s="22">
        <v>5</v>
      </c>
      <c r="AG9" s="22">
        <v>5</v>
      </c>
      <c r="AH9" s="22">
        <f>(AA9*$AA$2)+(AB9*$AB$2)+(AC9*$AC$2)+(AD9*$AD$2)+(AE9*$AE$2)+(AF9*$AF$2)+(AG9*$AG$2)</f>
        <v>450</v>
      </c>
      <c r="AI9" s="22">
        <v>5</v>
      </c>
      <c r="AJ9" s="22">
        <v>5</v>
      </c>
      <c r="AK9" s="22">
        <v>2</v>
      </c>
      <c r="AL9" s="22">
        <v>5</v>
      </c>
      <c r="AM9" s="22">
        <v>3</v>
      </c>
      <c r="AN9" s="22">
        <v>3</v>
      </c>
      <c r="AO9" s="22">
        <v>3</v>
      </c>
      <c r="AP9" s="21">
        <f>(AI9*$AI$2)+(AJ9*$AJ$2)+(AK9*$AK$2)+(AL9*$AL$2)+(AM9*$AM$2)+(AN9*$AN$2)+(AO9*$AO$2)</f>
        <v>390</v>
      </c>
      <c r="AQ9" s="23">
        <f>AP9+AH9</f>
        <v>840</v>
      </c>
      <c r="AR9" s="80" t="s">
        <v>1084</v>
      </c>
      <c r="AS9" s="88" t="s">
        <v>1083</v>
      </c>
      <c r="AT9" s="23" t="s">
        <v>873</v>
      </c>
      <c r="AU9" s="169"/>
      <c r="AV9" s="143" t="s">
        <v>453</v>
      </c>
      <c r="AW9" s="17"/>
      <c r="AX9" s="209">
        <v>1</v>
      </c>
      <c r="AY9" s="17">
        <v>0</v>
      </c>
      <c r="AZ9" s="17">
        <v>0</v>
      </c>
      <c r="BA9" s="17">
        <v>0</v>
      </c>
      <c r="BB9" s="17">
        <v>0</v>
      </c>
      <c r="BC9" s="17"/>
      <c r="BD9" s="52">
        <f>SUM(AX9:BC9)</f>
        <v>1</v>
      </c>
      <c r="BE9" s="170"/>
      <c r="BF9" s="23"/>
      <c r="BG9" s="16" t="s">
        <v>58</v>
      </c>
      <c r="BH9" s="48"/>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212"/>
    </row>
    <row r="10" spans="1:173" s="48" customFormat="1" ht="78">
      <c r="A10" s="21"/>
      <c r="B10" s="21">
        <v>23</v>
      </c>
      <c r="C10" s="97"/>
      <c r="D10" s="21"/>
      <c r="E10" s="69" t="s">
        <v>1082</v>
      </c>
      <c r="F10" s="69" t="s">
        <v>1081</v>
      </c>
      <c r="G10" s="69" t="s">
        <v>1080</v>
      </c>
      <c r="H10" s="29" t="s">
        <v>107</v>
      </c>
      <c r="I10" s="73">
        <v>45363</v>
      </c>
      <c r="J10" s="73" t="s">
        <v>107</v>
      </c>
      <c r="K10" s="17"/>
      <c r="L10" s="47" t="s">
        <v>112</v>
      </c>
      <c r="M10" s="67" t="s">
        <v>6</v>
      </c>
      <c r="N10" s="25"/>
      <c r="O10" s="23" t="s">
        <v>13</v>
      </c>
      <c r="P10" s="23" t="s">
        <v>33</v>
      </c>
      <c r="Q10" s="23" t="s">
        <v>11</v>
      </c>
      <c r="R10" s="23"/>
      <c r="S10" s="23" t="s">
        <v>92</v>
      </c>
      <c r="T10" s="23" t="s">
        <v>92</v>
      </c>
      <c r="U10" s="23" t="s">
        <v>107</v>
      </c>
      <c r="V10" s="23" t="s">
        <v>163</v>
      </c>
      <c r="W10" s="23" t="s">
        <v>6</v>
      </c>
      <c r="X10" s="21" t="s">
        <v>5</v>
      </c>
      <c r="Y10" s="21" t="s">
        <v>42</v>
      </c>
      <c r="Z10" s="23" t="s">
        <v>3</v>
      </c>
      <c r="AA10" s="21">
        <v>3</v>
      </c>
      <c r="AB10" s="21">
        <v>5</v>
      </c>
      <c r="AC10" s="21">
        <v>2</v>
      </c>
      <c r="AD10" s="21">
        <v>5</v>
      </c>
      <c r="AE10" s="21">
        <v>0</v>
      </c>
      <c r="AF10" s="21">
        <v>3</v>
      </c>
      <c r="AG10" s="21">
        <v>3</v>
      </c>
      <c r="AH10" s="22">
        <f>(AA10*$AA$2)+(AB10*$AB$2)+(AC10*$AC$2)+(AD10*$AD$2)+(AE10*$AE$2)+(AF10*$AF$2)+(AG10*$AG$2)</f>
        <v>315</v>
      </c>
      <c r="AI10" s="21">
        <v>5</v>
      </c>
      <c r="AJ10" s="21">
        <v>5</v>
      </c>
      <c r="AK10" s="21">
        <v>2</v>
      </c>
      <c r="AL10" s="21">
        <v>5</v>
      </c>
      <c r="AM10" s="21">
        <v>3</v>
      </c>
      <c r="AN10" s="21">
        <v>3</v>
      </c>
      <c r="AO10" s="21">
        <v>3</v>
      </c>
      <c r="AP10" s="21">
        <f>(AI10*$AI$2)+(AJ10*$AJ$2)+(AK10*$AK$2)+(AL10*$AL$2)+(AM10*$AM$2)+(AN10*$AN$2)+(AO10*$AO$2)</f>
        <v>390</v>
      </c>
      <c r="AQ10" s="21">
        <f>AP10+AH10</f>
        <v>705</v>
      </c>
      <c r="AR10" s="20" t="s">
        <v>477</v>
      </c>
      <c r="AS10" s="80" t="s">
        <v>1079</v>
      </c>
      <c r="AT10" s="18"/>
      <c r="AU10" s="17"/>
      <c r="AV10" s="23" t="s">
        <v>1078</v>
      </c>
      <c r="AW10" s="17"/>
      <c r="AX10" s="17"/>
      <c r="AY10" s="17"/>
      <c r="AZ10" s="17"/>
      <c r="BA10" s="17"/>
      <c r="BB10" s="17"/>
      <c r="BC10" s="17"/>
      <c r="BD10" s="52">
        <f>SUM(AX10:BC10)</f>
        <v>0</v>
      </c>
      <c r="BE10" s="17"/>
      <c r="BF10" s="17"/>
      <c r="BG10" s="16" t="s">
        <v>192</v>
      </c>
      <c r="BH10" s="101"/>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N10" s="50"/>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c r="EN10" s="50"/>
      <c r="EO10" s="50"/>
      <c r="EP10" s="50"/>
      <c r="EQ10" s="50"/>
      <c r="ER10" s="50"/>
      <c r="ES10" s="50"/>
      <c r="ET10" s="50"/>
      <c r="EU10" s="50"/>
      <c r="EV10" s="50"/>
      <c r="EW10" s="50"/>
      <c r="EX10" s="50"/>
      <c r="EY10" s="50"/>
      <c r="EZ10" s="50"/>
      <c r="FA10" s="50"/>
      <c r="FB10" s="50"/>
      <c r="FC10" s="50"/>
      <c r="FD10" s="50"/>
      <c r="FE10" s="50"/>
      <c r="FF10" s="50"/>
      <c r="FG10" s="50"/>
      <c r="FH10" s="50"/>
      <c r="FI10" s="50"/>
      <c r="FJ10" s="50"/>
      <c r="FK10" s="50"/>
      <c r="FL10" s="50"/>
      <c r="FM10" s="50"/>
      <c r="FN10" s="50"/>
      <c r="FO10" s="50"/>
      <c r="FP10" s="50"/>
      <c r="FQ10" s="59"/>
    </row>
    <row r="11" spans="1:173" s="51" customFormat="1" ht="97" customHeight="1">
      <c r="A11" s="21" t="s">
        <v>1077</v>
      </c>
      <c r="B11" s="21">
        <v>1</v>
      </c>
      <c r="C11" s="21"/>
      <c r="D11" s="21"/>
      <c r="E11" s="69" t="s">
        <v>1076</v>
      </c>
      <c r="F11" s="69" t="s">
        <v>1075</v>
      </c>
      <c r="G11" s="69" t="s">
        <v>1074</v>
      </c>
      <c r="H11" s="29" t="s">
        <v>502</v>
      </c>
      <c r="I11" s="73">
        <v>45301</v>
      </c>
      <c r="J11" s="73">
        <v>45717</v>
      </c>
      <c r="K11" s="54">
        <f>J11-I11</f>
        <v>416</v>
      </c>
      <c r="L11" s="47" t="s">
        <v>14</v>
      </c>
      <c r="M11" s="25" t="s">
        <v>196</v>
      </c>
      <c r="N11" s="25" t="s">
        <v>59</v>
      </c>
      <c r="O11" s="23" t="s">
        <v>50</v>
      </c>
      <c r="P11" s="23" t="s">
        <v>58</v>
      </c>
      <c r="Q11" s="23" t="s">
        <v>1014</v>
      </c>
      <c r="R11" s="23" t="s">
        <v>8</v>
      </c>
      <c r="S11" s="23" t="s">
        <v>721</v>
      </c>
      <c r="T11" s="23" t="s">
        <v>721</v>
      </c>
      <c r="U11" s="23" t="s">
        <v>1073</v>
      </c>
      <c r="V11" s="23" t="s">
        <v>56</v>
      </c>
      <c r="W11" s="23" t="s">
        <v>6</v>
      </c>
      <c r="X11" s="21" t="s">
        <v>5</v>
      </c>
      <c r="Y11" s="21" t="s">
        <v>4</v>
      </c>
      <c r="Z11" s="22" t="s">
        <v>3</v>
      </c>
      <c r="AA11" s="21">
        <v>5</v>
      </c>
      <c r="AB11" s="21">
        <v>5</v>
      </c>
      <c r="AC11" s="21">
        <v>5</v>
      </c>
      <c r="AD11" s="21">
        <v>5</v>
      </c>
      <c r="AE11" s="21">
        <v>0</v>
      </c>
      <c r="AF11" s="21">
        <v>5</v>
      </c>
      <c r="AG11" s="21">
        <v>5</v>
      </c>
      <c r="AH11" s="22">
        <f>(AA11*$AA$2)+(AB11*$AB$2)+(AC11*$AC$2)+(AD11*$AD$2)+(AE11*$AE$2)+(AF11*$AF$2)+(AG11*$AG$2)</f>
        <v>450</v>
      </c>
      <c r="AI11" s="21">
        <v>4</v>
      </c>
      <c r="AJ11" s="21">
        <v>4</v>
      </c>
      <c r="AK11" s="21">
        <v>1</v>
      </c>
      <c r="AL11" s="21">
        <v>5</v>
      </c>
      <c r="AM11" s="21">
        <v>3</v>
      </c>
      <c r="AN11" s="21">
        <v>1</v>
      </c>
      <c r="AO11" s="21">
        <v>5</v>
      </c>
      <c r="AP11" s="21">
        <f>(AI11*$AI$2)+(AJ11*$AJ$2)+(AK11*$AK$2)+(AL11*$AL$2)+(AM11*$AM$2)+(AN11*$AN$2)+(AO11*$AO$2)</f>
        <v>345</v>
      </c>
      <c r="AQ11" s="21">
        <f>AP11+AH11</f>
        <v>795</v>
      </c>
      <c r="AR11" s="80" t="s">
        <v>1072</v>
      </c>
      <c r="AS11" s="88" t="s">
        <v>1071</v>
      </c>
      <c r="AT11" s="23" t="s">
        <v>633</v>
      </c>
      <c r="AU11" s="21"/>
      <c r="AV11" s="23" t="s">
        <v>374</v>
      </c>
      <c r="AW11" s="23"/>
      <c r="AX11" s="23"/>
      <c r="AY11" s="23"/>
      <c r="AZ11" s="23"/>
      <c r="BA11" s="23"/>
      <c r="BB11" s="23"/>
      <c r="BC11" s="23"/>
      <c r="BD11" s="52">
        <f>SUM(AX11:BC11)</f>
        <v>0</v>
      </c>
      <c r="BE11" s="21"/>
      <c r="BF11" s="21"/>
      <c r="BG11" s="16" t="s">
        <v>58</v>
      </c>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c r="CO11" s="50"/>
      <c r="CP11" s="50"/>
      <c r="CQ11" s="50"/>
      <c r="CR11" s="50"/>
      <c r="CS11" s="50"/>
      <c r="CT11" s="50"/>
      <c r="CU11" s="50"/>
      <c r="CV11" s="50"/>
      <c r="CW11" s="50"/>
      <c r="CX11" s="50"/>
      <c r="CY11" s="50"/>
      <c r="CZ11" s="50"/>
      <c r="DA11" s="50"/>
      <c r="DB11" s="50"/>
      <c r="DC11" s="50"/>
      <c r="DD11" s="50"/>
      <c r="DE11" s="50"/>
      <c r="DF11" s="50"/>
      <c r="DG11" s="50"/>
      <c r="DH11" s="50"/>
      <c r="DI11" s="50"/>
      <c r="DJ11" s="50"/>
      <c r="DK11" s="50"/>
      <c r="DL11" s="50"/>
      <c r="DM11" s="50"/>
      <c r="DN11" s="50"/>
      <c r="DO11" s="50"/>
      <c r="DP11" s="50"/>
      <c r="DQ11" s="50"/>
      <c r="DR11" s="50"/>
      <c r="DS11" s="50"/>
      <c r="DT11" s="50"/>
      <c r="DU11" s="50"/>
      <c r="DV11" s="50"/>
      <c r="DW11" s="50"/>
      <c r="DX11" s="50"/>
      <c r="DY11" s="50"/>
      <c r="DZ11" s="50"/>
      <c r="EA11" s="50"/>
      <c r="EB11" s="50"/>
      <c r="EC11" s="50"/>
      <c r="ED11" s="50"/>
      <c r="EE11" s="50"/>
      <c r="EF11" s="50"/>
      <c r="EG11" s="50"/>
      <c r="EH11" s="50"/>
      <c r="EI11" s="50"/>
      <c r="EJ11" s="50"/>
      <c r="EK11" s="50"/>
      <c r="EL11" s="50"/>
      <c r="EM11" s="50"/>
      <c r="EN11" s="50"/>
      <c r="EO11" s="50"/>
      <c r="EP11" s="50"/>
      <c r="EQ11" s="50"/>
      <c r="ER11" s="50"/>
      <c r="ES11" s="50"/>
      <c r="ET11" s="50"/>
      <c r="EU11" s="50"/>
      <c r="EV11" s="50"/>
      <c r="EW11" s="50"/>
      <c r="EX11" s="50"/>
      <c r="EY11" s="50"/>
      <c r="EZ11" s="50"/>
      <c r="FA11" s="50"/>
      <c r="FB11" s="50"/>
      <c r="FC11" s="50"/>
      <c r="FD11" s="50"/>
      <c r="FE11" s="50"/>
      <c r="FF11" s="50"/>
      <c r="FG11" s="50"/>
      <c r="FH11" s="50"/>
      <c r="FI11" s="50"/>
      <c r="FJ11" s="50"/>
      <c r="FK11" s="50"/>
      <c r="FL11" s="50"/>
      <c r="FM11" s="50"/>
      <c r="FN11" s="50"/>
      <c r="FO11" s="50"/>
      <c r="FP11" s="50"/>
      <c r="FQ11" s="59"/>
    </row>
    <row r="12" spans="1:173" s="101" customFormat="1" ht="87" customHeight="1">
      <c r="A12" s="21" t="s">
        <v>1070</v>
      </c>
      <c r="B12" s="21">
        <v>1</v>
      </c>
      <c r="C12" s="21" t="s">
        <v>1069</v>
      </c>
      <c r="D12" s="173">
        <v>27157</v>
      </c>
      <c r="E12" s="69" t="s">
        <v>1068</v>
      </c>
      <c r="F12" s="69" t="s">
        <v>1067</v>
      </c>
      <c r="G12" s="69"/>
      <c r="H12" s="29" t="s">
        <v>107</v>
      </c>
      <c r="I12" s="73">
        <v>45292</v>
      </c>
      <c r="J12" s="73">
        <v>45717</v>
      </c>
      <c r="K12" s="184">
        <f>J12-I12</f>
        <v>425</v>
      </c>
      <c r="L12" s="47" t="s">
        <v>14</v>
      </c>
      <c r="M12" s="26" t="s">
        <v>38</v>
      </c>
      <c r="N12" s="26"/>
      <c r="O12" s="23" t="s">
        <v>69</v>
      </c>
      <c r="P12" s="23" t="s">
        <v>58</v>
      </c>
      <c r="Q12" s="170" t="s">
        <v>525</v>
      </c>
      <c r="R12" s="23"/>
      <c r="S12" s="23" t="s">
        <v>37</v>
      </c>
      <c r="T12" s="23" t="s">
        <v>1066</v>
      </c>
      <c r="U12" s="170" t="s">
        <v>1065</v>
      </c>
      <c r="V12" s="23" t="s">
        <v>66</v>
      </c>
      <c r="W12" s="22" t="s">
        <v>523</v>
      </c>
      <c r="X12" s="21" t="s">
        <v>5</v>
      </c>
      <c r="Y12" s="23" t="s">
        <v>126</v>
      </c>
      <c r="Z12" s="22" t="s">
        <v>18</v>
      </c>
      <c r="AA12" s="22">
        <v>5</v>
      </c>
      <c r="AB12" s="22">
        <v>5</v>
      </c>
      <c r="AC12" s="22">
        <v>5</v>
      </c>
      <c r="AD12" s="22">
        <v>5</v>
      </c>
      <c r="AE12" s="22">
        <v>3</v>
      </c>
      <c r="AF12" s="22">
        <v>3</v>
      </c>
      <c r="AG12" s="22">
        <v>5</v>
      </c>
      <c r="AH12" s="22">
        <f>(AA12*$AA$2)+(AB12*$AB$2)+(AC12*$AC$2)+(AD12*$AD$2)+(AE12*$AE$2)+(AF12*$AF$2)+(AG12*$AG$2)</f>
        <v>465</v>
      </c>
      <c r="AI12" s="22">
        <v>5</v>
      </c>
      <c r="AJ12" s="22">
        <v>5</v>
      </c>
      <c r="AK12" s="22">
        <v>2</v>
      </c>
      <c r="AL12" s="22">
        <v>3</v>
      </c>
      <c r="AM12" s="22">
        <v>3</v>
      </c>
      <c r="AN12" s="22">
        <v>5</v>
      </c>
      <c r="AO12" s="22">
        <v>3</v>
      </c>
      <c r="AP12" s="21">
        <f>(AI12*$AI$2)+(AJ12*$AJ$2)+(AK12*$AK$2)+(AL12*$AL$2)+(AM12*$AM$2)+(AN12*$AN$2)+(AO12*$AO$2)</f>
        <v>390</v>
      </c>
      <c r="AQ12" s="23">
        <f>AP12+AH12</f>
        <v>855</v>
      </c>
      <c r="AR12" s="80" t="s">
        <v>1064</v>
      </c>
      <c r="AS12" s="88" t="s">
        <v>1063</v>
      </c>
      <c r="AT12" s="18">
        <v>300000</v>
      </c>
      <c r="AU12" s="169"/>
      <c r="AV12" s="23" t="s">
        <v>262</v>
      </c>
      <c r="AW12" s="17"/>
      <c r="AX12" s="17"/>
      <c r="AY12" s="146">
        <v>25557</v>
      </c>
      <c r="AZ12" s="146">
        <v>13000</v>
      </c>
      <c r="BA12" s="206">
        <v>6000</v>
      </c>
      <c r="BB12" s="206">
        <v>6000</v>
      </c>
      <c r="BC12" s="17"/>
      <c r="BD12" s="52">
        <f>SUM(AX12:BC12)</f>
        <v>50557</v>
      </c>
      <c r="BE12" s="200">
        <v>45778</v>
      </c>
      <c r="BF12" s="148">
        <v>46113</v>
      </c>
      <c r="BG12" s="23" t="s">
        <v>58</v>
      </c>
      <c r="BH12" s="48"/>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71"/>
    </row>
    <row r="13" spans="1:173" s="144" customFormat="1" ht="33" customHeight="1">
      <c r="A13" s="21"/>
      <c r="B13" s="21">
        <v>28</v>
      </c>
      <c r="C13" s="7"/>
      <c r="D13" s="21"/>
      <c r="E13" s="69" t="s">
        <v>1062</v>
      </c>
      <c r="F13" s="69" t="s">
        <v>1061</v>
      </c>
      <c r="G13" s="69" t="s">
        <v>1060</v>
      </c>
      <c r="H13" s="29" t="s">
        <v>107</v>
      </c>
      <c r="I13" s="73">
        <v>45627</v>
      </c>
      <c r="J13" s="73">
        <v>45992</v>
      </c>
      <c r="K13" s="210">
        <f>$K$2-I13</f>
        <v>303</v>
      </c>
      <c r="L13" s="47" t="s">
        <v>14</v>
      </c>
      <c r="M13" s="26" t="s">
        <v>60</v>
      </c>
      <c r="N13" s="26"/>
      <c r="O13" s="23" t="s">
        <v>50</v>
      </c>
      <c r="P13" s="23" t="s">
        <v>33</v>
      </c>
      <c r="Q13" s="23" t="s">
        <v>129</v>
      </c>
      <c r="R13" s="23"/>
      <c r="S13" s="23" t="s">
        <v>49</v>
      </c>
      <c r="T13" s="23" t="s">
        <v>42</v>
      </c>
      <c r="U13" s="23" t="s">
        <v>311</v>
      </c>
      <c r="V13" s="23" t="s">
        <v>99</v>
      </c>
      <c r="W13" s="22" t="s">
        <v>138</v>
      </c>
      <c r="X13" s="21" t="s">
        <v>5</v>
      </c>
      <c r="Y13" s="21" t="s">
        <v>42</v>
      </c>
      <c r="Z13" s="22" t="s">
        <v>147</v>
      </c>
      <c r="AA13" s="21">
        <v>5</v>
      </c>
      <c r="AB13" s="21">
        <v>5</v>
      </c>
      <c r="AC13" s="21">
        <v>5</v>
      </c>
      <c r="AD13" s="21">
        <v>5</v>
      </c>
      <c r="AE13" s="21">
        <v>3</v>
      </c>
      <c r="AF13" s="21">
        <v>5</v>
      </c>
      <c r="AG13" s="21">
        <v>3</v>
      </c>
      <c r="AH13" s="22">
        <f>(AA13*$AA$2)+(AB13*$AB$2)+(AC13*$AC$2)+(AD13*$AD$2)+(AE13*$AE$2)+(AF13*$AF$2)+(AG13*$AG$2)</f>
        <v>465</v>
      </c>
      <c r="AI13" s="21">
        <v>3</v>
      </c>
      <c r="AJ13" s="21">
        <v>2</v>
      </c>
      <c r="AK13" s="21">
        <v>2</v>
      </c>
      <c r="AL13" s="21">
        <v>5</v>
      </c>
      <c r="AM13" s="21">
        <v>1</v>
      </c>
      <c r="AN13" s="21">
        <v>1</v>
      </c>
      <c r="AO13" s="21">
        <v>1</v>
      </c>
      <c r="AP13" s="21">
        <f>(AI13*$AI$2)+(AJ13*$AJ$2)+(AK13*$AK$2)+(AL13*$AL$2)+(AM13*$AM$2)+(AN13*$AN$2)+(AO13*$AO$2)</f>
        <v>225</v>
      </c>
      <c r="AQ13" s="21">
        <f>AP13+AH13</f>
        <v>690</v>
      </c>
      <c r="AR13" s="88" t="s">
        <v>1059</v>
      </c>
      <c r="AS13" s="88" t="s">
        <v>1058</v>
      </c>
      <c r="AT13" s="23"/>
      <c r="AU13" s="17" t="s">
        <v>1057</v>
      </c>
      <c r="AV13" s="179" t="s">
        <v>1056</v>
      </c>
      <c r="AW13" s="17"/>
      <c r="AX13" s="17"/>
      <c r="AY13" s="17"/>
      <c r="AZ13" s="17"/>
      <c r="BA13" s="17"/>
      <c r="BB13" s="17"/>
      <c r="BC13" s="17"/>
      <c r="BD13" s="52">
        <f>SUM(AX13:BC13)</f>
        <v>0</v>
      </c>
      <c r="BE13" s="148">
        <v>46235</v>
      </c>
      <c r="BF13" s="148">
        <v>46569</v>
      </c>
      <c r="BG13" s="16" t="s">
        <v>782</v>
      </c>
      <c r="BH13" s="51" t="s">
        <v>1055</v>
      </c>
      <c r="BI13" s="1"/>
      <c r="BJ13" s="1"/>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c r="FF13" s="50"/>
      <c r="FG13" s="50"/>
      <c r="FH13" s="50"/>
      <c r="FI13" s="50"/>
      <c r="FJ13" s="50"/>
      <c r="FK13" s="50"/>
      <c r="FL13" s="50"/>
      <c r="FM13" s="50"/>
      <c r="FN13" s="50"/>
      <c r="FO13" s="50"/>
      <c r="FP13" s="50"/>
      <c r="FQ13" s="49"/>
    </row>
    <row r="14" spans="1:173" s="51" customFormat="1" ht="36" customHeight="1">
      <c r="A14" s="21"/>
      <c r="B14" s="21">
        <v>22</v>
      </c>
      <c r="C14" s="21"/>
      <c r="D14" s="21"/>
      <c r="E14" s="69" t="s">
        <v>1054</v>
      </c>
      <c r="F14" s="69" t="s">
        <v>1053</v>
      </c>
      <c r="G14" s="69"/>
      <c r="H14" s="29">
        <v>44927</v>
      </c>
      <c r="I14" s="73">
        <v>45381</v>
      </c>
      <c r="J14" s="73">
        <v>45992</v>
      </c>
      <c r="K14" s="194">
        <f>$K$2-I14</f>
        <v>549</v>
      </c>
      <c r="L14" s="47" t="s">
        <v>496</v>
      </c>
      <c r="M14" s="26" t="s">
        <v>60</v>
      </c>
      <c r="N14" s="26"/>
      <c r="O14" s="23" t="s">
        <v>50</v>
      </c>
      <c r="P14" s="23" t="s">
        <v>33</v>
      </c>
      <c r="Q14" s="23" t="s">
        <v>129</v>
      </c>
      <c r="R14" s="23"/>
      <c r="S14" s="23" t="s">
        <v>128</v>
      </c>
      <c r="T14" s="23" t="s">
        <v>761</v>
      </c>
      <c r="U14" s="23" t="s">
        <v>1052</v>
      </c>
      <c r="V14" s="23" t="s">
        <v>66</v>
      </c>
      <c r="W14" s="26" t="s">
        <v>559</v>
      </c>
      <c r="X14" s="21" t="s">
        <v>5</v>
      </c>
      <c r="Y14" s="21" t="s">
        <v>126</v>
      </c>
      <c r="Z14" s="26" t="s">
        <v>18</v>
      </c>
      <c r="AA14" s="26">
        <v>5</v>
      </c>
      <c r="AB14" s="26">
        <v>5</v>
      </c>
      <c r="AC14" s="26">
        <v>2</v>
      </c>
      <c r="AD14" s="26">
        <v>5</v>
      </c>
      <c r="AE14" s="26">
        <v>5</v>
      </c>
      <c r="AF14" s="26">
        <v>3</v>
      </c>
      <c r="AG14" s="26">
        <v>5</v>
      </c>
      <c r="AH14" s="22">
        <f>(AA14*$AA$2)+(AB14*$AB$2)+(AC14*$AC$2)+(AD14*$AD$2)+(AE14*$AE$2)+(AF14*$AF$2)+(AG14*$AG$2)</f>
        <v>450</v>
      </c>
      <c r="AI14" s="26">
        <v>4</v>
      </c>
      <c r="AJ14" s="26">
        <v>2</v>
      </c>
      <c r="AK14" s="26">
        <v>1</v>
      </c>
      <c r="AL14" s="26">
        <v>5</v>
      </c>
      <c r="AM14" s="26">
        <v>3</v>
      </c>
      <c r="AN14" s="26">
        <v>1</v>
      </c>
      <c r="AO14" s="26">
        <v>1</v>
      </c>
      <c r="AP14" s="21">
        <f>(AI14*$AI$2)+(AJ14*$AJ$2)+(AK14*$AK$2)+(AL14*$AL$2)+(AM14*$AM$2)+(AN14*$AN$2)+(AO14*$AO$2)</f>
        <v>255</v>
      </c>
      <c r="AQ14" s="21">
        <f>AP14+AH14</f>
        <v>705</v>
      </c>
      <c r="AR14" s="177" t="s">
        <v>1051</v>
      </c>
      <c r="AS14" s="177" t="s">
        <v>1050</v>
      </c>
      <c r="AT14" s="180">
        <f>(50000000*0.005/20)*12</f>
        <v>150000</v>
      </c>
      <c r="AU14" s="17"/>
      <c r="AV14" s="17" t="s">
        <v>1049</v>
      </c>
      <c r="AW14" s="17"/>
      <c r="AX14" s="17"/>
      <c r="AY14" s="17"/>
      <c r="AZ14" s="17"/>
      <c r="BA14" s="17"/>
      <c r="BB14" s="17"/>
      <c r="BC14" s="17"/>
      <c r="BD14" s="52">
        <f>SUM(AX14:BC14)</f>
        <v>0</v>
      </c>
      <c r="BE14" s="17"/>
      <c r="BF14" s="17"/>
      <c r="BG14" s="16" t="s">
        <v>475</v>
      </c>
      <c r="BH14" s="48"/>
      <c r="BI14" s="1"/>
      <c r="BJ14" s="1"/>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c r="DB14" s="50"/>
      <c r="DC14" s="50"/>
      <c r="DD14" s="50"/>
      <c r="DE14" s="50"/>
      <c r="DF14" s="50"/>
      <c r="DG14" s="50"/>
      <c r="DH14" s="50"/>
      <c r="DI14" s="50"/>
      <c r="DJ14" s="50"/>
      <c r="DK14" s="50"/>
      <c r="DL14" s="50"/>
      <c r="DM14" s="50"/>
      <c r="DN14" s="50"/>
      <c r="DO14" s="50"/>
      <c r="DP14" s="50"/>
      <c r="DQ14" s="50"/>
      <c r="DR14" s="50"/>
      <c r="DS14" s="50"/>
      <c r="DT14" s="50"/>
      <c r="DU14" s="50"/>
      <c r="DV14" s="50"/>
      <c r="DW14" s="50"/>
      <c r="DX14" s="50"/>
      <c r="DY14" s="50"/>
      <c r="DZ14" s="50"/>
      <c r="EA14" s="50"/>
      <c r="EB14" s="50"/>
      <c r="EC14" s="50"/>
      <c r="ED14" s="50"/>
      <c r="EE14" s="50"/>
      <c r="EF14" s="50"/>
      <c r="EG14" s="50"/>
      <c r="EH14" s="50"/>
      <c r="EI14" s="50"/>
      <c r="EJ14" s="50"/>
      <c r="EK14" s="50"/>
      <c r="EL14" s="50"/>
      <c r="EM14" s="50"/>
      <c r="EN14" s="50"/>
      <c r="EO14" s="50"/>
      <c r="EP14" s="50"/>
      <c r="EQ14" s="50"/>
      <c r="ER14" s="50"/>
      <c r="ES14" s="50"/>
      <c r="ET14" s="50"/>
      <c r="EU14" s="50"/>
      <c r="EV14" s="50"/>
      <c r="EW14" s="50"/>
      <c r="EX14" s="50"/>
      <c r="EY14" s="50"/>
      <c r="EZ14" s="50"/>
      <c r="FA14" s="50"/>
      <c r="FB14" s="50"/>
      <c r="FC14" s="50"/>
      <c r="FD14" s="50"/>
      <c r="FE14" s="50"/>
      <c r="FF14" s="50"/>
      <c r="FG14" s="50"/>
      <c r="FH14" s="50"/>
      <c r="FI14" s="50"/>
      <c r="FJ14" s="50"/>
      <c r="FK14" s="50"/>
      <c r="FL14" s="50"/>
      <c r="FM14" s="50"/>
      <c r="FN14" s="50"/>
      <c r="FO14" s="50"/>
      <c r="FP14" s="50"/>
      <c r="FQ14" s="59"/>
    </row>
    <row r="15" spans="1:173" s="48" customFormat="1" ht="36.5" customHeight="1">
      <c r="A15" s="21"/>
      <c r="B15" s="21">
        <v>83</v>
      </c>
      <c r="C15" s="21" t="s">
        <v>1048</v>
      </c>
      <c r="D15" s="21">
        <v>30490</v>
      </c>
      <c r="E15" s="69" t="s">
        <v>1047</v>
      </c>
      <c r="F15" s="69" t="s">
        <v>1046</v>
      </c>
      <c r="G15" s="69" t="s">
        <v>1045</v>
      </c>
      <c r="H15" s="29">
        <v>45566</v>
      </c>
      <c r="I15" s="73">
        <v>45300</v>
      </c>
      <c r="J15" s="73">
        <v>45720</v>
      </c>
      <c r="K15" s="54">
        <f>J15-I15</f>
        <v>420</v>
      </c>
      <c r="L15" s="47" t="s">
        <v>14</v>
      </c>
      <c r="M15" s="26" t="s">
        <v>60</v>
      </c>
      <c r="N15" s="26"/>
      <c r="O15" s="23" t="s">
        <v>69</v>
      </c>
      <c r="P15" s="23" t="s">
        <v>58</v>
      </c>
      <c r="Q15" s="23" t="s">
        <v>11</v>
      </c>
      <c r="R15" s="23"/>
      <c r="S15" s="23" t="s">
        <v>429</v>
      </c>
      <c r="T15" s="23" t="s">
        <v>37</v>
      </c>
      <c r="U15" s="23" t="s">
        <v>221</v>
      </c>
      <c r="V15" s="23" t="s">
        <v>66</v>
      </c>
      <c r="W15" s="22" t="s">
        <v>523</v>
      </c>
      <c r="X15" s="21" t="s">
        <v>5</v>
      </c>
      <c r="Y15" s="21" t="s">
        <v>42</v>
      </c>
      <c r="Z15" s="22" t="s">
        <v>18</v>
      </c>
      <c r="AA15" s="21">
        <v>5</v>
      </c>
      <c r="AB15" s="21">
        <v>5</v>
      </c>
      <c r="AC15" s="21">
        <v>5</v>
      </c>
      <c r="AD15" s="21">
        <v>5</v>
      </c>
      <c r="AE15" s="21">
        <v>3</v>
      </c>
      <c r="AF15" s="21">
        <v>3</v>
      </c>
      <c r="AG15" s="21">
        <v>3</v>
      </c>
      <c r="AH15" s="22">
        <f>(AA15*$AA$2)+(AB15*$AB$2)+(AC15*$AC$2)+(AD15*$AD$2)+(AE15*$AE$2)+(AF15*$AF$2)+(AG15*$AG$2)</f>
        <v>435</v>
      </c>
      <c r="AI15" s="21">
        <v>5</v>
      </c>
      <c r="AJ15" s="21">
        <v>4</v>
      </c>
      <c r="AK15" s="21">
        <v>1</v>
      </c>
      <c r="AL15" s="21">
        <v>3</v>
      </c>
      <c r="AM15" s="21">
        <v>1</v>
      </c>
      <c r="AN15" s="21">
        <v>1</v>
      </c>
      <c r="AO15" s="21">
        <v>3</v>
      </c>
      <c r="AP15" s="21">
        <f>(AI15*$AI$2)+(AJ15*$AJ$2)+(AK15*$AK$2)+(AL15*$AL$2)+(AM15*$AM$2)+(AN15*$AN$2)+(AO15*$AO$2)</f>
        <v>270</v>
      </c>
      <c r="AQ15" s="21">
        <f>AP15+AH15</f>
        <v>705</v>
      </c>
      <c r="AR15" s="69" t="s">
        <v>1044</v>
      </c>
      <c r="AS15" s="69" t="s">
        <v>1043</v>
      </c>
      <c r="AT15" s="18">
        <v>20000</v>
      </c>
      <c r="AU15" s="17"/>
      <c r="AV15" s="17" t="s">
        <v>820</v>
      </c>
      <c r="AW15" s="17"/>
      <c r="AX15" s="209">
        <v>12388</v>
      </c>
      <c r="AY15" s="209">
        <v>0</v>
      </c>
      <c r="AZ15" s="209">
        <v>0</v>
      </c>
      <c r="BA15" s="209">
        <v>0</v>
      </c>
      <c r="BB15" s="209">
        <v>0</v>
      </c>
      <c r="BC15" s="209"/>
      <c r="BD15" s="52">
        <f>SUM(AX15:BC15)</f>
        <v>12388</v>
      </c>
      <c r="BE15" s="148">
        <v>45931</v>
      </c>
      <c r="BF15" s="148">
        <v>46266</v>
      </c>
      <c r="BG15" s="16" t="s">
        <v>58</v>
      </c>
      <c r="BH15" s="123" t="s">
        <v>1042</v>
      </c>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c r="FF15" s="50"/>
      <c r="FG15" s="50"/>
      <c r="FH15" s="50"/>
      <c r="FI15" s="50"/>
      <c r="FJ15" s="50"/>
      <c r="FK15" s="50"/>
      <c r="FL15" s="50"/>
      <c r="FM15" s="50"/>
      <c r="FN15" s="50"/>
      <c r="FO15" s="50"/>
      <c r="FP15" s="50"/>
      <c r="FQ15" s="59"/>
    </row>
    <row r="16" spans="1:173" s="48" customFormat="1" ht="59" customHeight="1">
      <c r="A16" s="161"/>
      <c r="B16" s="21">
        <v>82</v>
      </c>
      <c r="C16" s="21" t="s">
        <v>1041</v>
      </c>
      <c r="D16" s="208">
        <v>30489</v>
      </c>
      <c r="E16" s="69" t="s">
        <v>1040</v>
      </c>
      <c r="F16" s="69" t="s">
        <v>1039</v>
      </c>
      <c r="G16" s="69"/>
      <c r="H16" s="29">
        <v>45536</v>
      </c>
      <c r="I16" s="73">
        <v>45300</v>
      </c>
      <c r="J16" s="73">
        <v>45717</v>
      </c>
      <c r="K16" s="184">
        <f>J16-I16</f>
        <v>417</v>
      </c>
      <c r="L16" s="47" t="s">
        <v>14</v>
      </c>
      <c r="M16" s="26" t="s">
        <v>60</v>
      </c>
      <c r="N16" s="26"/>
      <c r="O16" s="23" t="s">
        <v>69</v>
      </c>
      <c r="P16" s="23" t="s">
        <v>58</v>
      </c>
      <c r="Q16" s="170" t="s">
        <v>11</v>
      </c>
      <c r="R16" s="23"/>
      <c r="S16" s="23" t="s">
        <v>37</v>
      </c>
      <c r="T16" s="23" t="s">
        <v>37</v>
      </c>
      <c r="U16" s="170" t="s">
        <v>221</v>
      </c>
      <c r="V16" s="23" t="s">
        <v>184</v>
      </c>
      <c r="W16" s="22" t="s">
        <v>523</v>
      </c>
      <c r="X16" s="21" t="s">
        <v>5</v>
      </c>
      <c r="Y16" s="23" t="s">
        <v>42</v>
      </c>
      <c r="Z16" s="22" t="s">
        <v>3</v>
      </c>
      <c r="AA16" s="23">
        <v>5</v>
      </c>
      <c r="AB16" s="23">
        <v>5</v>
      </c>
      <c r="AC16" s="23">
        <v>5</v>
      </c>
      <c r="AD16" s="23">
        <v>5</v>
      </c>
      <c r="AE16" s="23">
        <v>3</v>
      </c>
      <c r="AF16" s="23">
        <v>3</v>
      </c>
      <c r="AG16" s="23">
        <v>3</v>
      </c>
      <c r="AH16" s="22">
        <f>(AA16*$AA$2)+(AB16*$AB$2)+(AC16*$AC$2)+(AD16*$AD$2)+(AE16*$AE$2)+(AF16*$AF$2)+(AG16*$AG$2)</f>
        <v>435</v>
      </c>
      <c r="AI16" s="23">
        <v>5</v>
      </c>
      <c r="AJ16" s="23">
        <v>4</v>
      </c>
      <c r="AK16" s="23">
        <v>1</v>
      </c>
      <c r="AL16" s="23">
        <v>3</v>
      </c>
      <c r="AM16" s="23">
        <v>1</v>
      </c>
      <c r="AN16" s="23">
        <v>1</v>
      </c>
      <c r="AO16" s="23">
        <v>3</v>
      </c>
      <c r="AP16" s="21">
        <f>(AI16*$AI$2)+(AJ16*$AJ$2)+(AK16*$AK$2)+(AL16*$AL$2)+(AM16*$AM$2)+(AN16*$AN$2)+(AO16*$AO$2)</f>
        <v>270</v>
      </c>
      <c r="AQ16" s="23">
        <f>AP16+AH16</f>
        <v>705</v>
      </c>
      <c r="AR16" s="69" t="s">
        <v>1038</v>
      </c>
      <c r="AS16" s="207" t="s">
        <v>1037</v>
      </c>
      <c r="AT16" s="18">
        <v>60000</v>
      </c>
      <c r="AU16" s="169"/>
      <c r="AV16" s="17" t="s">
        <v>820</v>
      </c>
      <c r="AW16" s="23"/>
      <c r="AX16" s="17"/>
      <c r="AY16" s="146">
        <v>16636</v>
      </c>
      <c r="AZ16" s="206">
        <v>10142</v>
      </c>
      <c r="BA16" s="206">
        <v>0</v>
      </c>
      <c r="BB16" s="17">
        <v>0</v>
      </c>
      <c r="BC16" s="17"/>
      <c r="BD16" s="52">
        <f>SUM(AX16:BC16)</f>
        <v>26778</v>
      </c>
      <c r="BE16" s="200">
        <v>45839</v>
      </c>
      <c r="BF16" s="148">
        <v>46174</v>
      </c>
      <c r="BG16" s="16" t="s">
        <v>58</v>
      </c>
      <c r="BH16" s="106" t="s">
        <v>1036</v>
      </c>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49"/>
    </row>
    <row r="17" spans="1:173" s="51" customFormat="1" ht="87.5" customHeight="1">
      <c r="A17" s="21"/>
      <c r="B17" s="21">
        <v>24</v>
      </c>
      <c r="C17" s="97"/>
      <c r="D17" s="21"/>
      <c r="E17" s="69" t="s">
        <v>1035</v>
      </c>
      <c r="F17" s="69" t="s">
        <v>1034</v>
      </c>
      <c r="G17" s="69"/>
      <c r="H17" s="29" t="s">
        <v>107</v>
      </c>
      <c r="I17" s="73">
        <v>45413</v>
      </c>
      <c r="J17" s="73" t="s">
        <v>107</v>
      </c>
      <c r="K17" s="17"/>
      <c r="L17" s="47" t="s">
        <v>112</v>
      </c>
      <c r="M17" s="67" t="s">
        <v>6</v>
      </c>
      <c r="N17" s="25"/>
      <c r="O17" s="23" t="s">
        <v>13</v>
      </c>
      <c r="P17" s="23" t="s">
        <v>33</v>
      </c>
      <c r="Q17" s="23" t="s">
        <v>57</v>
      </c>
      <c r="R17" s="23"/>
      <c r="S17" s="23" t="s">
        <v>92</v>
      </c>
      <c r="T17" s="23" t="s">
        <v>1033</v>
      </c>
      <c r="U17" s="23" t="s">
        <v>1032</v>
      </c>
      <c r="V17" s="23" t="s">
        <v>163</v>
      </c>
      <c r="W17" s="22" t="s">
        <v>6</v>
      </c>
      <c r="X17" s="21" t="s">
        <v>5</v>
      </c>
      <c r="Y17" s="21" t="s">
        <v>42</v>
      </c>
      <c r="Z17" s="23" t="s">
        <v>3</v>
      </c>
      <c r="AA17" s="21">
        <v>3</v>
      </c>
      <c r="AB17" s="21">
        <v>5</v>
      </c>
      <c r="AC17" s="21">
        <v>2</v>
      </c>
      <c r="AD17" s="21">
        <v>5</v>
      </c>
      <c r="AE17" s="21">
        <v>0</v>
      </c>
      <c r="AF17" s="21">
        <v>3</v>
      </c>
      <c r="AG17" s="21">
        <v>3</v>
      </c>
      <c r="AH17" s="22">
        <f>(AA17*$AA$2)+(AB17*$AB$2)+(AC17*$AC$2)+(AD17*$AD$2)+(AE17*$AE$2)+(AF17*$AF$2)+(AG17*$AG$2)</f>
        <v>315</v>
      </c>
      <c r="AI17" s="21">
        <v>5</v>
      </c>
      <c r="AJ17" s="21">
        <v>5</v>
      </c>
      <c r="AK17" s="21">
        <v>2</v>
      </c>
      <c r="AL17" s="21">
        <v>5</v>
      </c>
      <c r="AM17" s="21">
        <v>3</v>
      </c>
      <c r="AN17" s="21">
        <v>3</v>
      </c>
      <c r="AO17" s="21">
        <v>3</v>
      </c>
      <c r="AP17" s="21">
        <f>(AI17*$AI$2)+(AJ17*$AJ$2)+(AK17*$AK$2)+(AL17*$AL$2)+(AM17*$AM$2)+(AN17*$AN$2)+(AO17*$AO$2)</f>
        <v>390</v>
      </c>
      <c r="AQ17" s="21">
        <f>AP17+AH17</f>
        <v>705</v>
      </c>
      <c r="AR17" s="20" t="s">
        <v>1031</v>
      </c>
      <c r="AS17" s="80" t="s">
        <v>1030</v>
      </c>
      <c r="AT17" s="18"/>
      <c r="AU17" s="17"/>
      <c r="AV17" s="17" t="s">
        <v>1029</v>
      </c>
      <c r="AW17" s="17"/>
      <c r="AX17" s="17"/>
      <c r="AY17" s="17"/>
      <c r="AZ17" s="17"/>
      <c r="BA17" s="17"/>
      <c r="BB17" s="17"/>
      <c r="BC17" s="17"/>
      <c r="BD17" s="52">
        <f>SUM(AX17:BC17)</f>
        <v>0</v>
      </c>
      <c r="BE17" s="17"/>
      <c r="BF17" s="17"/>
      <c r="BG17" s="16" t="s">
        <v>192</v>
      </c>
      <c r="BH17" s="48"/>
      <c r="BI17" s="113"/>
      <c r="BJ17" s="113"/>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c r="FF17" s="50"/>
      <c r="FG17" s="50"/>
      <c r="FH17" s="50"/>
      <c r="FI17" s="50"/>
      <c r="FJ17" s="50"/>
      <c r="FK17" s="50"/>
      <c r="FL17" s="50"/>
      <c r="FM17" s="50"/>
      <c r="FN17" s="50"/>
      <c r="FO17" s="50"/>
      <c r="FP17" s="1"/>
      <c r="FQ17" s="49"/>
    </row>
    <row r="18" spans="1:173" s="48" customFormat="1" ht="33" customHeight="1">
      <c r="A18" s="21" t="s">
        <v>1028</v>
      </c>
      <c r="B18" s="21">
        <v>1</v>
      </c>
      <c r="C18" s="32"/>
      <c r="D18" s="21"/>
      <c r="E18" s="69" t="s">
        <v>1027</v>
      </c>
      <c r="F18" s="69" t="s">
        <v>1026</v>
      </c>
      <c r="G18" s="69" t="s">
        <v>1025</v>
      </c>
      <c r="H18" s="29">
        <v>45536</v>
      </c>
      <c r="I18" s="73">
        <v>45300</v>
      </c>
      <c r="J18" s="73">
        <v>45717</v>
      </c>
      <c r="K18" s="54">
        <f>J18-I18</f>
        <v>417</v>
      </c>
      <c r="L18" s="47" t="s">
        <v>14</v>
      </c>
      <c r="M18" s="26" t="s">
        <v>74</v>
      </c>
      <c r="N18" s="26"/>
      <c r="O18" s="23" t="s">
        <v>45</v>
      </c>
      <c r="P18" s="23" t="s">
        <v>58</v>
      </c>
      <c r="Q18" s="23" t="s">
        <v>93</v>
      </c>
      <c r="R18" s="23"/>
      <c r="S18" s="23" t="s">
        <v>803</v>
      </c>
      <c r="T18" s="23" t="s">
        <v>1024</v>
      </c>
      <c r="U18" s="23" t="s">
        <v>531</v>
      </c>
      <c r="V18" s="23" t="s">
        <v>66</v>
      </c>
      <c r="W18" s="22" t="s">
        <v>138</v>
      </c>
      <c r="X18" s="21" t="s">
        <v>5</v>
      </c>
      <c r="Y18" s="23" t="s">
        <v>42</v>
      </c>
      <c r="Z18" s="23" t="s">
        <v>18</v>
      </c>
      <c r="AA18" s="23">
        <v>3</v>
      </c>
      <c r="AB18" s="23">
        <v>5</v>
      </c>
      <c r="AC18" s="23">
        <v>2</v>
      </c>
      <c r="AD18" s="23">
        <v>5</v>
      </c>
      <c r="AE18" s="23">
        <v>0</v>
      </c>
      <c r="AF18" s="23">
        <v>1</v>
      </c>
      <c r="AG18" s="23">
        <v>3</v>
      </c>
      <c r="AH18" s="22">
        <f>(AA18*$AA$2)+(AB18*$AB$2)+(AC18*$AC$2)+(AD18*$AD$2)+(AE18*$AE$2)+(AF18*$AF$2)+(AG18*$AG$2)</f>
        <v>285</v>
      </c>
      <c r="AI18" s="23">
        <v>5</v>
      </c>
      <c r="AJ18" s="23">
        <v>5</v>
      </c>
      <c r="AK18" s="23">
        <v>2</v>
      </c>
      <c r="AL18" s="23">
        <v>3</v>
      </c>
      <c r="AM18" s="23">
        <v>1</v>
      </c>
      <c r="AN18" s="23">
        <v>5</v>
      </c>
      <c r="AO18" s="23">
        <v>5</v>
      </c>
      <c r="AP18" s="21">
        <f>(AI18*$AI$2)+(AJ18*$AJ$2)+(AK18*$AK$2)+(AL18*$AL$2)+(AM18*$AM$2)+(AN18*$AN$2)+(AO18*$AO$2)</f>
        <v>390</v>
      </c>
      <c r="AQ18" s="23">
        <f>AP18+AH18</f>
        <v>675</v>
      </c>
      <c r="AR18" s="80" t="s">
        <v>1023</v>
      </c>
      <c r="AS18" s="88" t="s">
        <v>1022</v>
      </c>
      <c r="AT18" s="23" t="s">
        <v>487</v>
      </c>
      <c r="AU18" s="17"/>
      <c r="AV18" s="179" t="s">
        <v>1021</v>
      </c>
      <c r="AW18" s="23"/>
      <c r="AX18" s="23"/>
      <c r="AY18" s="23"/>
      <c r="AZ18" s="23"/>
      <c r="BA18" s="23"/>
      <c r="BB18" s="23"/>
      <c r="BC18" s="23"/>
      <c r="BD18" s="52">
        <f>SUM(AX18:BC18)</f>
        <v>0</v>
      </c>
      <c r="BE18" s="148">
        <v>45748</v>
      </c>
      <c r="BF18" s="148">
        <v>45717</v>
      </c>
      <c r="BG18" s="16" t="s">
        <v>58</v>
      </c>
      <c r="BH18" s="60" t="s">
        <v>1020</v>
      </c>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49"/>
    </row>
    <row r="19" spans="1:173" s="48" customFormat="1" ht="37" customHeight="1">
      <c r="A19" s="21" t="s">
        <v>1019</v>
      </c>
      <c r="B19" s="21">
        <v>104</v>
      </c>
      <c r="C19" s="21" t="s">
        <v>1018</v>
      </c>
      <c r="D19" s="21"/>
      <c r="E19" s="69" t="s">
        <v>1017</v>
      </c>
      <c r="F19" s="69" t="s">
        <v>1016</v>
      </c>
      <c r="G19" s="69"/>
      <c r="H19" s="29" t="s">
        <v>107</v>
      </c>
      <c r="I19" s="73">
        <v>45296</v>
      </c>
      <c r="J19" s="73">
        <v>45658</v>
      </c>
      <c r="K19" s="54">
        <f>J19-I19</f>
        <v>362</v>
      </c>
      <c r="L19" s="47" t="s">
        <v>14</v>
      </c>
      <c r="M19" s="26" t="s">
        <v>38</v>
      </c>
      <c r="N19" s="26"/>
      <c r="O19" s="23" t="s">
        <v>45</v>
      </c>
      <c r="P19" s="23" t="s">
        <v>58</v>
      </c>
      <c r="Q19" s="23" t="s">
        <v>1014</v>
      </c>
      <c r="R19" s="23" t="s">
        <v>340</v>
      </c>
      <c r="S19" s="23" t="s">
        <v>973</v>
      </c>
      <c r="T19" s="23" t="s">
        <v>1015</v>
      </c>
      <c r="U19" s="23" t="s">
        <v>1014</v>
      </c>
      <c r="V19" s="23" t="s">
        <v>66</v>
      </c>
      <c r="W19" s="22" t="s">
        <v>340</v>
      </c>
      <c r="X19" s="21" t="s">
        <v>5</v>
      </c>
      <c r="Y19" s="21" t="s">
        <v>126</v>
      </c>
      <c r="Z19" s="23" t="s">
        <v>18</v>
      </c>
      <c r="AA19" s="21">
        <v>3</v>
      </c>
      <c r="AB19" s="21">
        <v>5</v>
      </c>
      <c r="AC19" s="21">
        <v>5</v>
      </c>
      <c r="AD19" s="21">
        <v>5</v>
      </c>
      <c r="AE19" s="21">
        <v>3</v>
      </c>
      <c r="AF19" s="21">
        <v>3</v>
      </c>
      <c r="AG19" s="21">
        <v>3</v>
      </c>
      <c r="AH19" s="22">
        <f>(AA19*$AA$2)+(AB19*$AB$2)+(AC19*$AC$2)+(AD19*$AD$2)+(AE19*$AE$2)+(AF19*$AF$2)+(AG19*$AG$2)</f>
        <v>405</v>
      </c>
      <c r="AI19" s="21">
        <v>3</v>
      </c>
      <c r="AJ19" s="21">
        <v>3</v>
      </c>
      <c r="AK19" s="21">
        <v>2</v>
      </c>
      <c r="AL19" s="21">
        <v>3</v>
      </c>
      <c r="AM19" s="21">
        <v>3</v>
      </c>
      <c r="AN19" s="21">
        <v>3</v>
      </c>
      <c r="AO19" s="21">
        <v>3</v>
      </c>
      <c r="AP19" s="21">
        <f>(AI19*$AI$2)+(AJ19*$AJ$2)+(AK19*$AK$2)+(AL19*$AL$2)+(AM19*$AM$2)+(AN19*$AN$2)+(AO19*$AO$2)</f>
        <v>300</v>
      </c>
      <c r="AQ19" s="21">
        <f>AP19+AH19</f>
        <v>705</v>
      </c>
      <c r="AR19" s="87" t="s">
        <v>1013</v>
      </c>
      <c r="AS19" s="88" t="s">
        <v>1012</v>
      </c>
      <c r="AT19" s="18">
        <v>72000</v>
      </c>
      <c r="AU19" s="17"/>
      <c r="AV19" s="23" t="s">
        <v>262</v>
      </c>
      <c r="AW19" s="23"/>
      <c r="AX19" s="23">
        <v>0</v>
      </c>
      <c r="AY19" s="23">
        <v>0</v>
      </c>
      <c r="AZ19" s="23">
        <v>0</v>
      </c>
      <c r="BA19" s="23">
        <v>0</v>
      </c>
      <c r="BB19" s="23">
        <v>0</v>
      </c>
      <c r="BC19" s="23"/>
      <c r="BD19" s="52">
        <f>SUM(AX19:BC19)</f>
        <v>0</v>
      </c>
      <c r="BE19" s="17"/>
      <c r="BF19" s="17"/>
      <c r="BG19" s="16" t="s">
        <v>58</v>
      </c>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49"/>
    </row>
    <row r="20" spans="1:173" s="51" customFormat="1" ht="61" customHeight="1">
      <c r="A20" s="21" t="s">
        <v>1011</v>
      </c>
      <c r="B20" s="21">
        <v>18</v>
      </c>
      <c r="C20" s="21"/>
      <c r="D20" s="21"/>
      <c r="E20" s="69" t="s">
        <v>1010</v>
      </c>
      <c r="F20" s="69" t="s">
        <v>1009</v>
      </c>
      <c r="G20" s="69" t="s">
        <v>1008</v>
      </c>
      <c r="H20" s="29" t="s">
        <v>502</v>
      </c>
      <c r="I20" s="73">
        <v>45566</v>
      </c>
      <c r="J20" s="73">
        <v>45901</v>
      </c>
      <c r="K20" s="54">
        <f>J20-I20</f>
        <v>335</v>
      </c>
      <c r="L20" s="47" t="s">
        <v>14</v>
      </c>
      <c r="M20" s="26" t="s">
        <v>74</v>
      </c>
      <c r="N20" s="26" t="s">
        <v>59</v>
      </c>
      <c r="O20" s="23" t="s">
        <v>45</v>
      </c>
      <c r="P20" s="23" t="s">
        <v>58</v>
      </c>
      <c r="Q20" s="16" t="s">
        <v>93</v>
      </c>
      <c r="R20" s="23" t="s">
        <v>8</v>
      </c>
      <c r="S20" s="23" t="s">
        <v>21</v>
      </c>
      <c r="T20" s="23" t="s">
        <v>22</v>
      </c>
      <c r="U20" s="23" t="s">
        <v>850</v>
      </c>
      <c r="V20" s="23" t="s">
        <v>66</v>
      </c>
      <c r="W20" s="22" t="s">
        <v>340</v>
      </c>
      <c r="X20" s="21" t="s">
        <v>5</v>
      </c>
      <c r="Y20" s="21" t="s">
        <v>4</v>
      </c>
      <c r="Z20" s="23" t="s">
        <v>18</v>
      </c>
      <c r="AA20" s="21">
        <v>3</v>
      </c>
      <c r="AB20" s="21">
        <v>5</v>
      </c>
      <c r="AC20" s="21">
        <v>5</v>
      </c>
      <c r="AD20" s="21">
        <v>5</v>
      </c>
      <c r="AE20" s="21">
        <v>0</v>
      </c>
      <c r="AF20" s="21">
        <v>3</v>
      </c>
      <c r="AG20" s="21">
        <v>5</v>
      </c>
      <c r="AH20" s="22">
        <f>(AA20*$AA$2)+(AB20*$AB$2)+(AC20*$AC$2)+(AD20*$AD$2)+(AE20*$AE$2)+(AF20*$AF$2)+(AG20*$AG$2)</f>
        <v>390</v>
      </c>
      <c r="AI20" s="21">
        <v>3</v>
      </c>
      <c r="AJ20" s="21">
        <v>5</v>
      </c>
      <c r="AK20" s="21">
        <v>2</v>
      </c>
      <c r="AL20" s="21">
        <v>5</v>
      </c>
      <c r="AM20" s="21">
        <v>3</v>
      </c>
      <c r="AN20" s="21">
        <v>1</v>
      </c>
      <c r="AO20" s="21">
        <v>3</v>
      </c>
      <c r="AP20" s="21">
        <f>(AI20*$AI$2)+(AJ20*$AJ$2)+(AK20*$AK$2)+(AL20*$AL$2)+(AM20*$AM$2)+(AN20*$AN$2)+(AO20*$AO$2)</f>
        <v>330</v>
      </c>
      <c r="AQ20" s="21">
        <f>AP20+AH20</f>
        <v>720</v>
      </c>
      <c r="AR20" s="88" t="s">
        <v>1007</v>
      </c>
      <c r="AS20" s="88"/>
      <c r="AT20" s="23" t="s">
        <v>453</v>
      </c>
      <c r="AU20" s="17"/>
      <c r="AV20" s="23" t="s">
        <v>453</v>
      </c>
      <c r="AW20" s="23"/>
      <c r="AX20" s="23"/>
      <c r="AY20" s="23"/>
      <c r="AZ20" s="23"/>
      <c r="BA20" s="23"/>
      <c r="BB20" s="23"/>
      <c r="BC20" s="23"/>
      <c r="BD20" s="52">
        <f>SUM(AX20:BC20)</f>
        <v>0</v>
      </c>
      <c r="BE20" s="17"/>
      <c r="BF20" s="17"/>
      <c r="BG20" s="16" t="s">
        <v>58</v>
      </c>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c r="EZ20" s="50"/>
      <c r="FA20" s="50"/>
      <c r="FB20" s="50"/>
      <c r="FC20" s="50"/>
      <c r="FD20" s="50"/>
      <c r="FE20" s="50"/>
      <c r="FF20" s="50"/>
      <c r="FG20" s="50"/>
      <c r="FH20" s="50"/>
      <c r="FI20" s="50"/>
      <c r="FJ20" s="50"/>
      <c r="FK20" s="50"/>
      <c r="FL20" s="50"/>
      <c r="FM20" s="50"/>
      <c r="FN20" s="50"/>
      <c r="FO20" s="50"/>
      <c r="FP20" s="50"/>
      <c r="FQ20" s="59"/>
    </row>
    <row r="21" spans="1:173" s="51" customFormat="1" ht="34.5" customHeight="1">
      <c r="A21" s="25" t="s">
        <v>1006</v>
      </c>
      <c r="B21" s="25">
        <v>12</v>
      </c>
      <c r="C21" s="67"/>
      <c r="D21" s="25"/>
      <c r="E21" s="69" t="s">
        <v>1005</v>
      </c>
      <c r="F21" s="69" t="s">
        <v>1004</v>
      </c>
      <c r="G21" s="69" t="s">
        <v>1003</v>
      </c>
      <c r="H21" s="119" t="s">
        <v>502</v>
      </c>
      <c r="I21" s="73">
        <v>45627</v>
      </c>
      <c r="J21" s="73">
        <v>45931</v>
      </c>
      <c r="K21" s="54">
        <f>J21-I21</f>
        <v>304</v>
      </c>
      <c r="L21" s="118" t="s">
        <v>14</v>
      </c>
      <c r="M21" s="26" t="s">
        <v>38</v>
      </c>
      <c r="N21" s="26" t="s">
        <v>59</v>
      </c>
      <c r="O21" s="67" t="s">
        <v>45</v>
      </c>
      <c r="P21" s="67" t="s">
        <v>58</v>
      </c>
      <c r="Q21" s="67" t="s">
        <v>975</v>
      </c>
      <c r="R21" s="67" t="s">
        <v>8</v>
      </c>
      <c r="S21" s="67" t="s">
        <v>21</v>
      </c>
      <c r="T21" s="67" t="s">
        <v>22</v>
      </c>
      <c r="U21" s="67" t="s">
        <v>107</v>
      </c>
      <c r="V21" s="67" t="s">
        <v>66</v>
      </c>
      <c r="W21" s="26" t="s">
        <v>340</v>
      </c>
      <c r="X21" s="21" t="s">
        <v>5</v>
      </c>
      <c r="Y21" s="25" t="s">
        <v>4</v>
      </c>
      <c r="Z21" s="67" t="s">
        <v>18</v>
      </c>
      <c r="AA21" s="25">
        <v>5</v>
      </c>
      <c r="AB21" s="25">
        <v>5</v>
      </c>
      <c r="AC21" s="25">
        <v>5</v>
      </c>
      <c r="AD21" s="25">
        <v>5</v>
      </c>
      <c r="AE21" s="25">
        <v>1</v>
      </c>
      <c r="AF21" s="25">
        <v>5</v>
      </c>
      <c r="AG21" s="25">
        <v>3</v>
      </c>
      <c r="AH21" s="26">
        <f>(AA21*$AC$2)+(AB21*$AD$2)+(AC21*$AE$2)+(AD21*$AF$2)+(AE21*$AG$2)+(AF21*$AH$2)+(AG21*$AI$2)</f>
        <v>360</v>
      </c>
      <c r="AI21" s="25">
        <v>3</v>
      </c>
      <c r="AJ21" s="25">
        <v>2</v>
      </c>
      <c r="AK21" s="25">
        <v>2</v>
      </c>
      <c r="AL21" s="25">
        <v>5</v>
      </c>
      <c r="AM21" s="25">
        <v>3</v>
      </c>
      <c r="AN21" s="25">
        <v>3</v>
      </c>
      <c r="AO21" s="25">
        <v>5</v>
      </c>
      <c r="AP21" s="21">
        <f>(AI21*$AI$2)+(AJ21*$AJ$2)+(AK21*$AK$2)+(AL21*$AL$2)+(AM21*$AM$2)+(AN21*$AN$2)+(AO21*$AO$2)</f>
        <v>345</v>
      </c>
      <c r="AQ21" s="25">
        <f>AP21+AH21</f>
        <v>705</v>
      </c>
      <c r="AR21" s="137" t="s">
        <v>1002</v>
      </c>
      <c r="AS21" s="117"/>
      <c r="AT21" s="103" t="s">
        <v>941</v>
      </c>
      <c r="AU21" s="26"/>
      <c r="AV21" s="103" t="s">
        <v>941</v>
      </c>
      <c r="AW21" s="67"/>
      <c r="AX21" s="67"/>
      <c r="AY21" s="67"/>
      <c r="AZ21" s="67"/>
      <c r="BA21" s="67"/>
      <c r="BB21" s="67"/>
      <c r="BC21" s="67"/>
      <c r="BD21" s="52">
        <f>SUM(AX21:BC21)</f>
        <v>0</v>
      </c>
      <c r="BE21" s="26"/>
      <c r="BF21" s="26"/>
      <c r="BG21" s="125" t="s">
        <v>58</v>
      </c>
      <c r="BH21" s="115"/>
      <c r="BI21" s="114"/>
      <c r="BJ21" s="114"/>
      <c r="BK21" s="114"/>
      <c r="BL21" s="114"/>
      <c r="BM21" s="114"/>
      <c r="BN21" s="114"/>
      <c r="BO21" s="114"/>
      <c r="BP21" s="114"/>
      <c r="BQ21" s="114"/>
      <c r="BR21" s="114"/>
      <c r="BS21" s="114"/>
      <c r="BT21" s="114"/>
      <c r="BU21" s="114"/>
      <c r="BV21" s="114"/>
      <c r="BW21" s="114"/>
      <c r="BX21" s="114"/>
      <c r="BY21" s="114"/>
      <c r="BZ21" s="114"/>
      <c r="CA21" s="114"/>
      <c r="CB21" s="114"/>
      <c r="CC21" s="114"/>
      <c r="CD21" s="114"/>
      <c r="CE21" s="114"/>
      <c r="CF21" s="114"/>
      <c r="CG21" s="114"/>
      <c r="CH21" s="114"/>
      <c r="CI21" s="114"/>
      <c r="CJ21" s="114"/>
      <c r="CK21" s="114"/>
      <c r="CL21" s="114"/>
      <c r="CM21" s="114"/>
      <c r="CN21" s="114"/>
      <c r="CO21" s="114"/>
      <c r="CP21" s="114"/>
      <c r="CQ21" s="114"/>
      <c r="CR21" s="114"/>
      <c r="CS21" s="114"/>
      <c r="CT21" s="114"/>
      <c r="CU21" s="114"/>
      <c r="CV21" s="114"/>
      <c r="CW21" s="114"/>
      <c r="CX21" s="114"/>
      <c r="CY21" s="114"/>
      <c r="CZ21" s="114"/>
      <c r="DA21" s="114"/>
      <c r="DB21" s="114"/>
      <c r="DC21" s="114"/>
      <c r="DD21" s="114"/>
      <c r="DE21" s="114"/>
      <c r="DF21" s="114"/>
      <c r="DG21" s="114"/>
      <c r="DH21" s="114"/>
      <c r="DI21" s="114"/>
      <c r="DJ21" s="114"/>
      <c r="DK21" s="114"/>
      <c r="DL21" s="114"/>
      <c r="DM21" s="114"/>
      <c r="DN21" s="114"/>
      <c r="DO21" s="114"/>
      <c r="DP21" s="114"/>
      <c r="DQ21" s="114"/>
      <c r="DR21" s="114"/>
      <c r="DS21" s="114"/>
      <c r="DT21" s="114"/>
      <c r="DU21" s="114"/>
      <c r="DV21" s="114"/>
      <c r="DW21" s="114"/>
      <c r="DX21" s="114"/>
      <c r="DY21" s="114"/>
      <c r="DZ21" s="114"/>
      <c r="EA21" s="114"/>
      <c r="EB21" s="114"/>
      <c r="EC21" s="114"/>
      <c r="ED21" s="114"/>
      <c r="EE21" s="114"/>
      <c r="EF21" s="114"/>
      <c r="EG21" s="114"/>
      <c r="EH21" s="114"/>
      <c r="EI21" s="114"/>
      <c r="EJ21" s="114"/>
      <c r="EK21" s="114"/>
      <c r="EL21" s="114"/>
      <c r="EM21" s="114"/>
      <c r="EN21" s="114"/>
      <c r="EO21" s="114"/>
      <c r="EP21" s="114"/>
      <c r="EQ21" s="114"/>
      <c r="ER21" s="114"/>
      <c r="ES21" s="114"/>
      <c r="ET21" s="114"/>
      <c r="EU21" s="114"/>
      <c r="EV21" s="114"/>
      <c r="EW21" s="114"/>
      <c r="EX21" s="114"/>
      <c r="EY21" s="114"/>
      <c r="EZ21" s="114"/>
      <c r="FA21" s="114"/>
      <c r="FB21" s="114"/>
      <c r="FC21" s="114"/>
      <c r="FD21" s="114"/>
      <c r="FE21" s="114"/>
      <c r="FF21" s="114"/>
      <c r="FG21" s="114"/>
      <c r="FH21" s="114"/>
      <c r="FI21" s="114"/>
      <c r="FJ21" s="114"/>
      <c r="FK21" s="114"/>
      <c r="FL21" s="114"/>
      <c r="FM21" s="114"/>
      <c r="FN21" s="114"/>
      <c r="FO21" s="114"/>
      <c r="FP21" s="114"/>
      <c r="FQ21" s="205"/>
    </row>
    <row r="22" spans="1:173" s="51" customFormat="1" ht="34.5" customHeight="1">
      <c r="A22" s="21"/>
      <c r="B22" s="21"/>
      <c r="C22" s="32"/>
      <c r="D22" s="21"/>
      <c r="E22" s="69" t="s">
        <v>1001</v>
      </c>
      <c r="F22" s="69" t="s">
        <v>1000</v>
      </c>
      <c r="G22" s="69"/>
      <c r="H22" s="29">
        <v>45964</v>
      </c>
      <c r="I22" s="29"/>
      <c r="J22" s="29"/>
      <c r="K22" s="26"/>
      <c r="L22" s="47" t="s">
        <v>39</v>
      </c>
      <c r="M22" s="26" t="s">
        <v>38</v>
      </c>
      <c r="N22" s="25"/>
      <c r="O22" s="68" t="s">
        <v>13</v>
      </c>
      <c r="P22" s="23" t="s">
        <v>12</v>
      </c>
      <c r="Q22" s="23"/>
      <c r="R22" s="23"/>
      <c r="S22" s="23" t="s">
        <v>999</v>
      </c>
      <c r="T22" s="23" t="s">
        <v>999</v>
      </c>
      <c r="U22" s="23"/>
      <c r="V22" s="23"/>
      <c r="W22" s="23"/>
      <c r="X22" s="21" t="s">
        <v>5</v>
      </c>
      <c r="Y22" s="21"/>
      <c r="Z22" s="23"/>
      <c r="AA22" s="22">
        <v>5</v>
      </c>
      <c r="AB22" s="22">
        <v>5</v>
      </c>
      <c r="AC22" s="22">
        <v>1</v>
      </c>
      <c r="AD22" s="22">
        <v>5</v>
      </c>
      <c r="AE22" s="22">
        <v>1</v>
      </c>
      <c r="AF22" s="22">
        <v>3</v>
      </c>
      <c r="AG22" s="22">
        <v>3</v>
      </c>
      <c r="AH22" s="22">
        <f>(AA22*$AA$2)+(AB22*$AB$2)+(AC22*$AC$2)+(AD22*$AD$2)+(AE22*$AE$2)+(AF22*$AF$2)+(AG22*$AG$2)</f>
        <v>345</v>
      </c>
      <c r="AI22" s="22">
        <v>5</v>
      </c>
      <c r="AJ22" s="22">
        <v>5</v>
      </c>
      <c r="AK22" s="22">
        <v>4</v>
      </c>
      <c r="AL22" s="22">
        <v>5</v>
      </c>
      <c r="AM22" s="22">
        <v>5</v>
      </c>
      <c r="AN22" s="22">
        <v>5</v>
      </c>
      <c r="AO22" s="22">
        <v>5</v>
      </c>
      <c r="AP22" s="21">
        <f>(AI22*$AI$2)+(AJ22*$AJ$2)+(AK22*$AK$2)+(AL22*$AL$2)+(AM22*$AM$2)+(AN22*$AN$2)+(AO22*$AO$2)</f>
        <v>510</v>
      </c>
      <c r="AQ22" s="21">
        <f>AP22+AH22</f>
        <v>855</v>
      </c>
      <c r="AR22" s="20"/>
      <c r="AS22" s="20"/>
      <c r="AT22" s="18"/>
      <c r="AU22" s="17"/>
      <c r="AV22" s="17"/>
      <c r="AW22" s="17"/>
      <c r="AX22" s="17"/>
      <c r="AY22" s="17"/>
      <c r="AZ22" s="17"/>
      <c r="BA22" s="17"/>
      <c r="BB22" s="17"/>
      <c r="BC22" s="17"/>
      <c r="BD22" s="17"/>
      <c r="BE22" s="17"/>
      <c r="BF22" s="17"/>
      <c r="BG22" s="16" t="s">
        <v>0</v>
      </c>
      <c r="BH22" s="48"/>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49"/>
    </row>
    <row r="23" spans="1:173" s="48" customFormat="1" ht="76" customHeight="1">
      <c r="A23" s="21" t="s">
        <v>998</v>
      </c>
      <c r="B23" s="21">
        <v>79</v>
      </c>
      <c r="C23" s="21"/>
      <c r="D23" s="21">
        <v>30503</v>
      </c>
      <c r="E23" s="69" t="s">
        <v>997</v>
      </c>
      <c r="F23" s="69" t="s">
        <v>996</v>
      </c>
      <c r="G23" s="69" t="s">
        <v>995</v>
      </c>
      <c r="H23" s="29" t="s">
        <v>502</v>
      </c>
      <c r="I23" s="73">
        <v>45550</v>
      </c>
      <c r="J23" s="73">
        <v>45853</v>
      </c>
      <c r="K23" s="54">
        <f>J23-I23</f>
        <v>303</v>
      </c>
      <c r="L23" s="47" t="s">
        <v>14</v>
      </c>
      <c r="M23" s="26" t="s">
        <v>196</v>
      </c>
      <c r="N23" s="26" t="s">
        <v>59</v>
      </c>
      <c r="O23" s="23" t="s">
        <v>69</v>
      </c>
      <c r="P23" s="23" t="s">
        <v>58</v>
      </c>
      <c r="Q23" s="16" t="s">
        <v>57</v>
      </c>
      <c r="R23" s="23" t="s">
        <v>8</v>
      </c>
      <c r="S23" s="23" t="s">
        <v>721</v>
      </c>
      <c r="T23" s="23" t="s">
        <v>221</v>
      </c>
      <c r="U23" s="23" t="s">
        <v>221</v>
      </c>
      <c r="V23" s="23" t="s">
        <v>56</v>
      </c>
      <c r="W23" s="22" t="s">
        <v>138</v>
      </c>
      <c r="X23" s="21" t="s">
        <v>5</v>
      </c>
      <c r="Y23" s="21" t="s">
        <v>4</v>
      </c>
      <c r="Z23" s="22" t="s">
        <v>3</v>
      </c>
      <c r="AA23" s="21">
        <v>5</v>
      </c>
      <c r="AB23" s="21">
        <v>5</v>
      </c>
      <c r="AC23" s="21">
        <v>1</v>
      </c>
      <c r="AD23" s="21">
        <v>5</v>
      </c>
      <c r="AE23" s="21">
        <v>1</v>
      </c>
      <c r="AF23" s="21">
        <v>3</v>
      </c>
      <c r="AG23" s="21">
        <v>3</v>
      </c>
      <c r="AH23" s="22">
        <f>(AA23*$AA$2)+(AB23*$AB$2)+(AC23*$AC$2)+(AD23*$AD$2)+(AE23*$AE$2)+(AF23*$AF$2)+(AG23*$AG$2)</f>
        <v>345</v>
      </c>
      <c r="AI23" s="21">
        <v>5</v>
      </c>
      <c r="AJ23" s="21">
        <v>3</v>
      </c>
      <c r="AK23" s="21">
        <v>2</v>
      </c>
      <c r="AL23" s="21">
        <v>3</v>
      </c>
      <c r="AM23" s="23">
        <v>3</v>
      </c>
      <c r="AN23" s="21">
        <v>3</v>
      </c>
      <c r="AO23" s="21">
        <v>5</v>
      </c>
      <c r="AP23" s="21">
        <f>(AI23*$AI$2)+(AJ23*$AJ$2)+(AK23*$AK$2)+(AL23*$AL$2)+(AM23*$AM$2)+(AN23*$AN$2)+(AO23*$AO$2)</f>
        <v>360</v>
      </c>
      <c r="AQ23" s="21">
        <f>AP23+AH23</f>
        <v>705</v>
      </c>
      <c r="AR23" s="88" t="s">
        <v>994</v>
      </c>
      <c r="AS23" s="20"/>
      <c r="AT23" s="23" t="s">
        <v>227</v>
      </c>
      <c r="AU23" s="23" t="s">
        <v>283</v>
      </c>
      <c r="AV23" s="23" t="s">
        <v>54</v>
      </c>
      <c r="AW23" s="17"/>
      <c r="AX23" s="17"/>
      <c r="AY23" s="17"/>
      <c r="AZ23" s="17"/>
      <c r="BA23" s="17"/>
      <c r="BB23" s="17"/>
      <c r="BC23" s="17"/>
      <c r="BD23" s="52">
        <f>SUM(AX23:BC23)</f>
        <v>0</v>
      </c>
      <c r="BE23" s="17"/>
      <c r="BF23" s="17"/>
      <c r="BG23" s="16" t="s">
        <v>58</v>
      </c>
      <c r="BH23" s="106" t="s">
        <v>993</v>
      </c>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A23" s="50"/>
      <c r="EB23" s="50"/>
      <c r="EC23" s="50"/>
      <c r="ED23" s="50"/>
      <c r="EE23" s="50"/>
      <c r="EF23" s="50"/>
      <c r="EG23" s="50"/>
      <c r="EH23" s="50"/>
      <c r="EI23" s="50"/>
      <c r="EJ23" s="50"/>
      <c r="EK23" s="50"/>
      <c r="EL23" s="50"/>
      <c r="EM23" s="50"/>
      <c r="EN23" s="50"/>
      <c r="EO23" s="50"/>
      <c r="EP23" s="50"/>
      <c r="EQ23" s="50"/>
      <c r="ER23" s="50"/>
      <c r="ES23" s="50"/>
      <c r="ET23" s="50"/>
      <c r="EU23" s="50"/>
      <c r="EV23" s="50"/>
      <c r="EW23" s="50"/>
      <c r="EX23" s="50"/>
      <c r="EY23" s="50"/>
      <c r="EZ23" s="50"/>
      <c r="FA23" s="50"/>
      <c r="FB23" s="50"/>
      <c r="FC23" s="50"/>
      <c r="FD23" s="50"/>
      <c r="FE23" s="50"/>
      <c r="FF23" s="50"/>
      <c r="FG23" s="50"/>
      <c r="FH23" s="50"/>
      <c r="FI23" s="50"/>
      <c r="FJ23" s="50"/>
      <c r="FK23" s="50"/>
      <c r="FL23" s="50"/>
      <c r="FM23" s="50"/>
      <c r="FN23" s="50"/>
      <c r="FO23" s="50"/>
      <c r="FP23" s="50"/>
      <c r="FQ23" s="59"/>
    </row>
    <row r="24" spans="1:173" s="51" customFormat="1" ht="40.5" customHeight="1">
      <c r="A24" s="21" t="s">
        <v>992</v>
      </c>
      <c r="B24" s="21">
        <v>2</v>
      </c>
      <c r="C24" s="23" t="s">
        <v>897</v>
      </c>
      <c r="D24" s="170">
        <v>30572</v>
      </c>
      <c r="E24" s="69" t="s">
        <v>991</v>
      </c>
      <c r="F24" s="69" t="s">
        <v>990</v>
      </c>
      <c r="G24" s="69" t="s">
        <v>989</v>
      </c>
      <c r="H24" s="22" t="s">
        <v>107</v>
      </c>
      <c r="I24" s="73">
        <v>45505</v>
      </c>
      <c r="J24" s="73">
        <v>45778</v>
      </c>
      <c r="K24" s="184">
        <f>J24-I24</f>
        <v>273</v>
      </c>
      <c r="L24" s="47" t="s">
        <v>14</v>
      </c>
      <c r="M24" s="26" t="s">
        <v>60</v>
      </c>
      <c r="N24" s="26" t="s">
        <v>59</v>
      </c>
      <c r="O24" s="22" t="s">
        <v>69</v>
      </c>
      <c r="P24" s="23" t="s">
        <v>58</v>
      </c>
      <c r="Q24" s="173" t="s">
        <v>510</v>
      </c>
      <c r="R24" s="21" t="s">
        <v>8</v>
      </c>
      <c r="S24" s="23" t="s">
        <v>386</v>
      </c>
      <c r="T24" s="22" t="s">
        <v>386</v>
      </c>
      <c r="U24" s="204" t="s">
        <v>287</v>
      </c>
      <c r="V24" s="22" t="s">
        <v>99</v>
      </c>
      <c r="W24" s="22" t="s">
        <v>286</v>
      </c>
      <c r="X24" s="21" t="s">
        <v>5</v>
      </c>
      <c r="Y24" s="21" t="s">
        <v>4</v>
      </c>
      <c r="Z24" s="22" t="s">
        <v>147</v>
      </c>
      <c r="AA24" s="21">
        <v>4</v>
      </c>
      <c r="AB24" s="21">
        <v>5</v>
      </c>
      <c r="AC24" s="21">
        <v>5</v>
      </c>
      <c r="AD24" s="21">
        <v>5</v>
      </c>
      <c r="AE24" s="187">
        <v>5</v>
      </c>
      <c r="AF24" s="21">
        <v>3</v>
      </c>
      <c r="AG24" s="21">
        <v>5</v>
      </c>
      <c r="AH24" s="22">
        <f>(AA24*$AA$2)+(AB24*$AB$2)+(AC24*$AC$2)+(AD24*$AD$2)+(AE24*$AE$2)+(AF24*$AF$2)+(AG24*$AG$2)</f>
        <v>480</v>
      </c>
      <c r="AI24" s="21">
        <v>5</v>
      </c>
      <c r="AJ24" s="21">
        <v>5</v>
      </c>
      <c r="AK24" s="21">
        <v>2</v>
      </c>
      <c r="AL24" s="21">
        <v>5</v>
      </c>
      <c r="AM24" s="21">
        <v>3</v>
      </c>
      <c r="AN24" s="21">
        <v>5</v>
      </c>
      <c r="AO24" s="21">
        <v>5</v>
      </c>
      <c r="AP24" s="21">
        <f>(AI24*$AI$2)+(AJ24*$AJ$2)+(AK24*$AK$2)+(AL24*$AL$2)+(AM24*$AM$2)+(AN24*$AN$2)+(AO24*$AO$2)</f>
        <v>450</v>
      </c>
      <c r="AQ24" s="21">
        <f>AP24+AH24</f>
        <v>930</v>
      </c>
      <c r="AR24" s="132" t="s">
        <v>988</v>
      </c>
      <c r="AS24" s="88" t="s">
        <v>987</v>
      </c>
      <c r="AT24" s="203">
        <v>126000</v>
      </c>
      <c r="AU24" s="173"/>
      <c r="AV24" s="179" t="s">
        <v>262</v>
      </c>
      <c r="AW24" s="21"/>
      <c r="AX24" s="21">
        <v>0</v>
      </c>
      <c r="AY24" s="21">
        <v>0</v>
      </c>
      <c r="AZ24" s="21">
        <v>0</v>
      </c>
      <c r="BA24" s="21">
        <v>0</v>
      </c>
      <c r="BB24" s="21">
        <v>0</v>
      </c>
      <c r="BC24" s="21"/>
      <c r="BD24" s="52">
        <f>SUM(AX24:BC24)</f>
        <v>0</v>
      </c>
      <c r="BE24" s="202">
        <v>45870</v>
      </c>
      <c r="BF24" s="131">
        <v>46204</v>
      </c>
      <c r="BG24" s="16" t="s">
        <v>58</v>
      </c>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50"/>
      <c r="EJ24" s="50"/>
      <c r="EK24" s="50"/>
      <c r="EL24" s="50"/>
      <c r="EM24" s="50"/>
      <c r="EN24" s="50"/>
      <c r="EO24" s="50"/>
      <c r="EP24" s="50"/>
      <c r="EQ24" s="50"/>
      <c r="ER24" s="50"/>
      <c r="ES24" s="50"/>
      <c r="ET24" s="50"/>
      <c r="EU24" s="50"/>
      <c r="EV24" s="50"/>
      <c r="EW24" s="50"/>
      <c r="EX24" s="50"/>
      <c r="EY24" s="50"/>
      <c r="EZ24" s="50"/>
      <c r="FA24" s="50"/>
      <c r="FB24" s="50"/>
      <c r="FC24" s="50"/>
      <c r="FD24" s="50"/>
      <c r="FE24" s="50"/>
      <c r="FF24" s="50"/>
      <c r="FG24" s="50"/>
      <c r="FH24" s="50"/>
      <c r="FI24" s="50"/>
      <c r="FJ24" s="50"/>
      <c r="FK24" s="50"/>
      <c r="FL24" s="50"/>
      <c r="FM24" s="50"/>
      <c r="FN24" s="50"/>
      <c r="FO24" s="50"/>
      <c r="FP24" s="50"/>
      <c r="FQ24" s="59"/>
    </row>
    <row r="25" spans="1:173" s="51" customFormat="1" ht="61.25" customHeight="1">
      <c r="A25" s="21" t="s">
        <v>986</v>
      </c>
      <c r="B25" s="21">
        <v>1</v>
      </c>
      <c r="C25" s="21" t="s">
        <v>985</v>
      </c>
      <c r="D25" s="21"/>
      <c r="E25" s="69" t="s">
        <v>984</v>
      </c>
      <c r="F25" s="69" t="s">
        <v>983</v>
      </c>
      <c r="G25" s="69" t="s">
        <v>982</v>
      </c>
      <c r="H25" s="29" t="s">
        <v>502</v>
      </c>
      <c r="I25" s="73">
        <v>45505</v>
      </c>
      <c r="J25" s="73">
        <v>45801</v>
      </c>
      <c r="K25" s="54">
        <f>J25-I25</f>
        <v>296</v>
      </c>
      <c r="L25" s="47" t="s">
        <v>14</v>
      </c>
      <c r="M25" s="26" t="s">
        <v>60</v>
      </c>
      <c r="N25" s="26" t="s">
        <v>59</v>
      </c>
      <c r="O25" s="23" t="s">
        <v>13</v>
      </c>
      <c r="P25" s="23" t="s">
        <v>58</v>
      </c>
      <c r="Q25" s="23" t="s">
        <v>510</v>
      </c>
      <c r="R25" s="23" t="s">
        <v>8</v>
      </c>
      <c r="S25" s="23" t="s">
        <v>386</v>
      </c>
      <c r="T25" s="23" t="s">
        <v>386</v>
      </c>
      <c r="U25" s="23" t="s">
        <v>287</v>
      </c>
      <c r="V25" s="23" t="s">
        <v>99</v>
      </c>
      <c r="W25" s="22" t="s">
        <v>286</v>
      </c>
      <c r="X25" s="21" t="s">
        <v>5</v>
      </c>
      <c r="Y25" s="21" t="s">
        <v>4</v>
      </c>
      <c r="Z25" s="22" t="s">
        <v>147</v>
      </c>
      <c r="AA25" s="21">
        <v>4</v>
      </c>
      <c r="AB25" s="21">
        <v>5</v>
      </c>
      <c r="AC25" s="21">
        <v>1</v>
      </c>
      <c r="AD25" s="21">
        <v>5</v>
      </c>
      <c r="AE25" s="21">
        <v>3</v>
      </c>
      <c r="AF25" s="21">
        <v>3</v>
      </c>
      <c r="AG25" s="21">
        <v>5</v>
      </c>
      <c r="AH25" s="22">
        <f>(AA25*$AA$2)+(AB25*$AB$2)+(AC25*$AC$2)+(AD25*$AD$2)+(AE25*$AE$2)+(AF25*$AF$2)+(AG25*$AG$2)</f>
        <v>390</v>
      </c>
      <c r="AI25" s="21">
        <v>4</v>
      </c>
      <c r="AJ25" s="21">
        <v>4</v>
      </c>
      <c r="AK25" s="21">
        <v>3</v>
      </c>
      <c r="AL25" s="21">
        <v>5</v>
      </c>
      <c r="AM25" s="21">
        <v>5</v>
      </c>
      <c r="AN25" s="21">
        <v>3</v>
      </c>
      <c r="AO25" s="21">
        <v>5</v>
      </c>
      <c r="AP25" s="21">
        <f>(AI25*$AI$2)+(AJ25*$AJ$2)+(AK25*$AK$2)+(AL25*$AL$2)+(AM25*$AM$2)+(AN25*$AN$2)+(AO25*$AO$2)</f>
        <v>435</v>
      </c>
      <c r="AQ25" s="21">
        <f>AP25+AH25</f>
        <v>825</v>
      </c>
      <c r="AR25" s="132" t="s">
        <v>981</v>
      </c>
      <c r="AS25" s="88" t="s">
        <v>980</v>
      </c>
      <c r="AT25" s="18">
        <v>64000</v>
      </c>
      <c r="AU25" s="17"/>
      <c r="AV25" s="23" t="s">
        <v>262</v>
      </c>
      <c r="AW25" s="146">
        <v>64000</v>
      </c>
      <c r="AX25" s="17"/>
      <c r="AY25" s="17"/>
      <c r="AZ25" s="17">
        <v>0</v>
      </c>
      <c r="BA25" s="17">
        <v>0</v>
      </c>
      <c r="BB25" s="17">
        <v>0</v>
      </c>
      <c r="BC25" s="17"/>
      <c r="BD25" s="52">
        <f>SUM(AX25:BC25)</f>
        <v>0</v>
      </c>
      <c r="BE25" s="131">
        <v>45809</v>
      </c>
      <c r="BF25" s="17"/>
      <c r="BG25" s="54" t="s">
        <v>58</v>
      </c>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c r="ES25" s="50"/>
      <c r="ET25" s="50"/>
      <c r="EU25" s="50"/>
      <c r="EV25" s="50"/>
      <c r="EW25" s="50"/>
      <c r="EX25" s="50"/>
      <c r="EY25" s="50"/>
      <c r="EZ25" s="50"/>
      <c r="FA25" s="50"/>
      <c r="FB25" s="50"/>
      <c r="FC25" s="50"/>
      <c r="FD25" s="50"/>
      <c r="FE25" s="50"/>
      <c r="FF25" s="50"/>
      <c r="FG25" s="50"/>
      <c r="FH25" s="50"/>
      <c r="FI25" s="50"/>
      <c r="FJ25" s="50"/>
      <c r="FK25" s="50"/>
      <c r="FL25" s="50"/>
      <c r="FM25" s="50"/>
      <c r="FN25" s="50"/>
      <c r="FO25" s="50"/>
      <c r="FP25" s="50"/>
      <c r="FQ25" s="59"/>
    </row>
    <row r="26" spans="1:173" s="48" customFormat="1" ht="47" customHeight="1">
      <c r="A26" s="21" t="s">
        <v>979</v>
      </c>
      <c r="B26" s="21">
        <v>1</v>
      </c>
      <c r="C26" s="149"/>
      <c r="D26" s="201"/>
      <c r="E26" s="69" t="s">
        <v>978</v>
      </c>
      <c r="F26" s="69" t="s">
        <v>977</v>
      </c>
      <c r="G26" s="69" t="s">
        <v>976</v>
      </c>
      <c r="H26" s="29" t="s">
        <v>502</v>
      </c>
      <c r="I26" s="73">
        <v>45413</v>
      </c>
      <c r="J26" s="73">
        <v>45689</v>
      </c>
      <c r="K26" s="184">
        <f>J26-I26</f>
        <v>276</v>
      </c>
      <c r="L26" s="47" t="s">
        <v>14</v>
      </c>
      <c r="M26" s="26" t="s">
        <v>38</v>
      </c>
      <c r="N26" s="26" t="s">
        <v>59</v>
      </c>
      <c r="O26" s="23" t="s">
        <v>45</v>
      </c>
      <c r="P26" s="23" t="s">
        <v>58</v>
      </c>
      <c r="Q26" s="170" t="s">
        <v>975</v>
      </c>
      <c r="R26" s="23" t="s">
        <v>8</v>
      </c>
      <c r="S26" s="23" t="s">
        <v>974</v>
      </c>
      <c r="T26" s="23" t="s">
        <v>973</v>
      </c>
      <c r="U26" s="170" t="s">
        <v>341</v>
      </c>
      <c r="V26" s="23" t="s">
        <v>66</v>
      </c>
      <c r="W26" s="22" t="s">
        <v>340</v>
      </c>
      <c r="X26" s="21" t="s">
        <v>5</v>
      </c>
      <c r="Y26" s="21" t="s">
        <v>4</v>
      </c>
      <c r="Z26" s="23" t="s">
        <v>18</v>
      </c>
      <c r="AA26" s="21">
        <v>3</v>
      </c>
      <c r="AB26" s="21">
        <v>5</v>
      </c>
      <c r="AC26" s="21">
        <v>5</v>
      </c>
      <c r="AD26" s="21">
        <v>5</v>
      </c>
      <c r="AE26" s="21">
        <v>1</v>
      </c>
      <c r="AF26" s="21">
        <v>3</v>
      </c>
      <c r="AG26" s="21">
        <v>5</v>
      </c>
      <c r="AH26" s="22">
        <f>(AA26*$AA$2)+(AB26*$AB$2)+(AC26*$AC$2)+(AD26*$AD$2)+(AE26*$AE$2)+(AF26*$AF$2)+(AG26*$AG$2)</f>
        <v>405</v>
      </c>
      <c r="AI26" s="21">
        <v>3</v>
      </c>
      <c r="AJ26" s="21">
        <v>4</v>
      </c>
      <c r="AK26" s="21">
        <v>2</v>
      </c>
      <c r="AL26" s="21">
        <v>5</v>
      </c>
      <c r="AM26" s="21">
        <v>3</v>
      </c>
      <c r="AN26" s="21">
        <v>1</v>
      </c>
      <c r="AO26" s="21">
        <v>5</v>
      </c>
      <c r="AP26" s="21">
        <f>(AI26*$AI$2)+(AJ26*$AJ$2)+(AK26*$AK$2)+(AL26*$AL$2)+(AM26*$AM$2)+(AN26*$AN$2)+(AO26*$AO$2)</f>
        <v>345</v>
      </c>
      <c r="AQ26" s="21">
        <f>AP26+AH26</f>
        <v>750</v>
      </c>
      <c r="AR26" s="88" t="s">
        <v>972</v>
      </c>
      <c r="AS26" s="23" t="s">
        <v>971</v>
      </c>
      <c r="AT26" s="18">
        <v>15000</v>
      </c>
      <c r="AU26" s="169"/>
      <c r="AV26" s="179" t="s">
        <v>262</v>
      </c>
      <c r="AW26" s="146"/>
      <c r="AX26" s="146"/>
      <c r="AY26" s="146"/>
      <c r="AZ26" s="146"/>
      <c r="BA26" s="146"/>
      <c r="BB26" s="146"/>
      <c r="BC26" s="146"/>
      <c r="BD26" s="52">
        <f>SUM(AX26:BC26)</f>
        <v>0</v>
      </c>
      <c r="BE26" s="200">
        <v>45839</v>
      </c>
      <c r="BF26" s="148">
        <v>46174</v>
      </c>
      <c r="BG26" s="16" t="s">
        <v>58</v>
      </c>
      <c r="BH26" s="51"/>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A26" s="50"/>
      <c r="EB26" s="50"/>
      <c r="EC26" s="50"/>
      <c r="ED26" s="50"/>
      <c r="EE26" s="50"/>
      <c r="EF26" s="50"/>
      <c r="EG26" s="50"/>
      <c r="EH26" s="50"/>
      <c r="EI26" s="50"/>
      <c r="EJ26" s="50"/>
      <c r="EK26" s="50"/>
      <c r="EL26" s="50"/>
      <c r="EM26" s="50"/>
      <c r="EN26" s="50"/>
      <c r="EO26" s="50"/>
      <c r="EP26" s="50"/>
      <c r="EQ26" s="50"/>
      <c r="ER26" s="50"/>
      <c r="ES26" s="50"/>
      <c r="ET26" s="50"/>
      <c r="EU26" s="50"/>
      <c r="EV26" s="50"/>
      <c r="EW26" s="50"/>
      <c r="EX26" s="50"/>
      <c r="EY26" s="50"/>
      <c r="EZ26" s="50"/>
      <c r="FA26" s="50"/>
      <c r="FB26" s="50"/>
      <c r="FC26" s="50"/>
      <c r="FD26" s="50"/>
      <c r="FE26" s="50"/>
      <c r="FF26" s="50"/>
      <c r="FG26" s="50"/>
      <c r="FH26" s="50"/>
      <c r="FI26" s="50"/>
      <c r="FJ26" s="50"/>
      <c r="FK26" s="50"/>
      <c r="FL26" s="50"/>
      <c r="FM26" s="50"/>
      <c r="FN26" s="50"/>
      <c r="FO26" s="50"/>
      <c r="FP26" s="50"/>
      <c r="FQ26" s="59"/>
    </row>
    <row r="27" spans="1:173" s="51" customFormat="1" ht="76.5" customHeight="1">
      <c r="A27" s="21"/>
      <c r="B27" s="21">
        <v>1</v>
      </c>
      <c r="C27" s="21"/>
      <c r="D27" s="144">
        <v>35589</v>
      </c>
      <c r="E27" s="69" t="s">
        <v>970</v>
      </c>
      <c r="F27" s="69" t="s">
        <v>969</v>
      </c>
      <c r="G27" s="69" t="s">
        <v>968</v>
      </c>
      <c r="H27" s="29" t="s">
        <v>502</v>
      </c>
      <c r="I27" s="73">
        <v>45566</v>
      </c>
      <c r="J27" s="73">
        <v>45786</v>
      </c>
      <c r="K27" s="130">
        <f>J27-I27</f>
        <v>220</v>
      </c>
      <c r="L27" s="47" t="s">
        <v>14</v>
      </c>
      <c r="M27" s="67" t="s">
        <v>196</v>
      </c>
      <c r="N27" s="25" t="s">
        <v>59</v>
      </c>
      <c r="O27" s="23" t="s">
        <v>69</v>
      </c>
      <c r="P27" s="23" t="s">
        <v>58</v>
      </c>
      <c r="Q27" s="16" t="s">
        <v>57</v>
      </c>
      <c r="R27" s="23" t="s">
        <v>8</v>
      </c>
      <c r="S27" s="23" t="s">
        <v>210</v>
      </c>
      <c r="T27" s="134" t="s">
        <v>210</v>
      </c>
      <c r="U27" s="23" t="s">
        <v>869</v>
      </c>
      <c r="V27" s="23" t="s">
        <v>184</v>
      </c>
      <c r="W27" s="22" t="s">
        <v>138</v>
      </c>
      <c r="X27" s="21" t="s">
        <v>5</v>
      </c>
      <c r="Y27" s="21" t="s">
        <v>4</v>
      </c>
      <c r="Z27" s="22" t="s">
        <v>3</v>
      </c>
      <c r="AA27" s="21">
        <v>3</v>
      </c>
      <c r="AB27" s="21">
        <v>5</v>
      </c>
      <c r="AC27" s="21">
        <v>3</v>
      </c>
      <c r="AD27" s="21">
        <v>5</v>
      </c>
      <c r="AE27" s="21">
        <v>1</v>
      </c>
      <c r="AF27" s="21">
        <v>3</v>
      </c>
      <c r="AG27" s="21">
        <v>3</v>
      </c>
      <c r="AH27" s="22">
        <f>(AA27*$AA$2)+(AB27*$AB$2)+(AC27*$AC$2)+(AD27*$AD$2)+(AE27*$AE$2)+(AF27*$AF$2)+(AG27*$AG$2)</f>
        <v>345</v>
      </c>
      <c r="AI27" s="21">
        <v>5</v>
      </c>
      <c r="AJ27" s="21">
        <v>5</v>
      </c>
      <c r="AK27" s="21">
        <v>3</v>
      </c>
      <c r="AL27" s="21">
        <v>3</v>
      </c>
      <c r="AM27" s="21">
        <v>5</v>
      </c>
      <c r="AN27" s="21">
        <v>3</v>
      </c>
      <c r="AO27" s="21">
        <v>5</v>
      </c>
      <c r="AP27" s="21">
        <f>(AI27*$AI$2)+(AJ27*$AJ$2)+(AK27*$AK$2)+(AL27*$AL$2)+(AM27*$AM$2)+(AN27*$AN$2)+(AO27*$AO$2)</f>
        <v>435</v>
      </c>
      <c r="AQ27" s="21">
        <f>AP27+AH27</f>
        <v>780</v>
      </c>
      <c r="AR27" s="132" t="s">
        <v>967</v>
      </c>
      <c r="AS27" s="88" t="s">
        <v>867</v>
      </c>
      <c r="AT27" s="23" t="s">
        <v>227</v>
      </c>
      <c r="AU27" s="21"/>
      <c r="AV27" s="23" t="s">
        <v>374</v>
      </c>
      <c r="AW27" s="21"/>
      <c r="AX27" s="21"/>
      <c r="AY27" s="21"/>
      <c r="AZ27" s="21"/>
      <c r="BA27" s="21"/>
      <c r="BB27" s="21"/>
      <c r="BC27" s="21"/>
      <c r="BD27" s="52">
        <f>SUM(AX27:BC27)</f>
        <v>0</v>
      </c>
      <c r="BE27" s="21"/>
      <c r="BF27" s="21"/>
      <c r="BG27" s="16" t="s">
        <v>58</v>
      </c>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99"/>
    </row>
    <row r="28" spans="1:173" s="51" customFormat="1" ht="65" customHeight="1">
      <c r="A28" s="21"/>
      <c r="B28" s="21">
        <v>1</v>
      </c>
      <c r="C28" s="191"/>
      <c r="D28" s="198"/>
      <c r="E28" s="69" t="s">
        <v>966</v>
      </c>
      <c r="F28" s="69" t="s">
        <v>965</v>
      </c>
      <c r="G28" s="69" t="s">
        <v>964</v>
      </c>
      <c r="H28" s="29">
        <v>45536</v>
      </c>
      <c r="I28" s="73">
        <v>45536</v>
      </c>
      <c r="J28" s="73">
        <v>45748</v>
      </c>
      <c r="K28" s="54">
        <f>J28-I28</f>
        <v>212</v>
      </c>
      <c r="L28" s="47" t="s">
        <v>14</v>
      </c>
      <c r="M28" s="67" t="s">
        <v>60</v>
      </c>
      <c r="N28" s="67"/>
      <c r="O28" s="23" t="s">
        <v>32</v>
      </c>
      <c r="P28" s="23" t="s">
        <v>58</v>
      </c>
      <c r="Q28" s="23" t="s">
        <v>11</v>
      </c>
      <c r="R28" s="23" t="s">
        <v>170</v>
      </c>
      <c r="S28" s="23" t="s">
        <v>37</v>
      </c>
      <c r="T28" s="23" t="s">
        <v>37</v>
      </c>
      <c r="U28" s="23" t="s">
        <v>508</v>
      </c>
      <c r="V28" s="23" t="s">
        <v>66</v>
      </c>
      <c r="W28" s="23" t="s">
        <v>481</v>
      </c>
      <c r="X28" s="21" t="s">
        <v>5</v>
      </c>
      <c r="Y28" s="23" t="s">
        <v>42</v>
      </c>
      <c r="Z28" s="23" t="s">
        <v>18</v>
      </c>
      <c r="AA28" s="23">
        <v>5</v>
      </c>
      <c r="AB28" s="23">
        <v>5</v>
      </c>
      <c r="AC28" s="23">
        <v>2</v>
      </c>
      <c r="AD28" s="23">
        <v>5</v>
      </c>
      <c r="AE28" s="23">
        <v>3</v>
      </c>
      <c r="AF28" s="23">
        <v>3</v>
      </c>
      <c r="AG28" s="23">
        <v>3</v>
      </c>
      <c r="AH28" s="22">
        <f>(AA28*$AA$2)+(AB28*$AB$2)+(AC28*$AC$2)+(AD28*$AD$2)+(AE28*$AE$2)+(AF28*$AF$2)+(AG28*$AG$2)</f>
        <v>390</v>
      </c>
      <c r="AI28" s="23">
        <v>5</v>
      </c>
      <c r="AJ28" s="23">
        <v>5</v>
      </c>
      <c r="AK28" s="23">
        <v>3</v>
      </c>
      <c r="AL28" s="23">
        <v>5</v>
      </c>
      <c r="AM28" s="23">
        <v>5</v>
      </c>
      <c r="AN28" s="23">
        <v>3</v>
      </c>
      <c r="AO28" s="23">
        <v>5</v>
      </c>
      <c r="AP28" s="21">
        <f>(AI28*$AI$2)+(AJ28*$AJ$2)+(AK28*$AK$2)+(AL28*$AL$2)+(AM28*$AM$2)+(AN28*$AN$2)+(AO28*$AO$2)</f>
        <v>465</v>
      </c>
      <c r="AQ28" s="23">
        <f>AP28+AH28</f>
        <v>855</v>
      </c>
      <c r="AR28" s="80" t="s">
        <v>963</v>
      </c>
      <c r="AS28" s="80" t="s">
        <v>962</v>
      </c>
      <c r="AT28" s="153" t="s">
        <v>961</v>
      </c>
      <c r="AU28" s="101"/>
      <c r="AV28" s="80" t="s">
        <v>960</v>
      </c>
      <c r="AW28" s="153" t="s">
        <v>959</v>
      </c>
      <c r="AX28" s="23"/>
      <c r="AY28" s="23"/>
      <c r="AZ28" s="23"/>
      <c r="BA28" s="23"/>
      <c r="BB28" s="23"/>
      <c r="BC28" s="23"/>
      <c r="BD28" s="52">
        <f>SUM(AX28:BC28)</f>
        <v>0</v>
      </c>
      <c r="BE28" s="197">
        <v>46023</v>
      </c>
      <c r="BF28" s="197">
        <v>46357</v>
      </c>
      <c r="BG28" s="23" t="s">
        <v>58</v>
      </c>
      <c r="BH28" s="196" t="s">
        <v>958</v>
      </c>
      <c r="BI28" s="195" t="s">
        <v>957</v>
      </c>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49"/>
    </row>
    <row r="29" spans="1:173" s="48" customFormat="1" ht="59.5" customHeight="1">
      <c r="A29" s="21"/>
      <c r="B29" s="21">
        <v>103</v>
      </c>
      <c r="C29" s="97"/>
      <c r="D29" s="21"/>
      <c r="E29" s="69" t="s">
        <v>956</v>
      </c>
      <c r="F29" s="69" t="s">
        <v>955</v>
      </c>
      <c r="G29" s="69"/>
      <c r="H29" s="29">
        <v>45566</v>
      </c>
      <c r="I29" s="73">
        <v>45672</v>
      </c>
      <c r="J29" s="73">
        <v>45870</v>
      </c>
      <c r="K29" s="130">
        <f>J29-I29</f>
        <v>198</v>
      </c>
      <c r="L29" s="47" t="s">
        <v>14</v>
      </c>
      <c r="M29" s="26" t="s">
        <v>38</v>
      </c>
      <c r="N29" s="67"/>
      <c r="O29" s="23" t="s">
        <v>13</v>
      </c>
      <c r="P29" s="23" t="s">
        <v>58</v>
      </c>
      <c r="Q29" s="23" t="s">
        <v>31</v>
      </c>
      <c r="R29" s="23" t="s">
        <v>163</v>
      </c>
      <c r="S29" s="23" t="s">
        <v>37</v>
      </c>
      <c r="T29" s="23" t="s">
        <v>37</v>
      </c>
      <c r="U29" s="23" t="s">
        <v>163</v>
      </c>
      <c r="V29" s="23" t="s">
        <v>66</v>
      </c>
      <c r="W29" s="23" t="s">
        <v>481</v>
      </c>
      <c r="X29" s="21" t="s">
        <v>5</v>
      </c>
      <c r="Y29" s="23" t="s">
        <v>126</v>
      </c>
      <c r="Z29" s="23" t="s">
        <v>18</v>
      </c>
      <c r="AA29" s="23">
        <v>3</v>
      </c>
      <c r="AB29" s="23">
        <v>5</v>
      </c>
      <c r="AC29" s="23">
        <v>2</v>
      </c>
      <c r="AD29" s="23">
        <v>5</v>
      </c>
      <c r="AE29" s="23">
        <v>0</v>
      </c>
      <c r="AF29" s="23">
        <v>5</v>
      </c>
      <c r="AG29" s="23">
        <v>3</v>
      </c>
      <c r="AH29" s="22">
        <f>(AA29*$AA$2)+(AB29*$AB$2)+(AC29*$AC$2)+(AD29*$AD$2)+(AE29*$AE$2)+(AF29*$AF$2)+(AG29*$AG$2)</f>
        <v>345</v>
      </c>
      <c r="AI29" s="23">
        <v>5</v>
      </c>
      <c r="AJ29" s="23">
        <v>5</v>
      </c>
      <c r="AK29" s="23">
        <v>2</v>
      </c>
      <c r="AL29" s="23">
        <v>3</v>
      </c>
      <c r="AM29" s="23">
        <v>3</v>
      </c>
      <c r="AN29" s="23">
        <v>3</v>
      </c>
      <c r="AO29" s="23">
        <v>3</v>
      </c>
      <c r="AP29" s="21">
        <f>(AI29*$AI$2)+(AJ29*$AJ$2)+(AK29*$AK$2)+(AL29*$AL$2)+(AM29*$AM$2)+(AN29*$AN$2)+(AO29*$AO$2)</f>
        <v>360</v>
      </c>
      <c r="AQ29" s="23">
        <f>AP29+AH29</f>
        <v>705</v>
      </c>
      <c r="AR29" s="80" t="s">
        <v>954</v>
      </c>
      <c r="AS29" s="80" t="s">
        <v>953</v>
      </c>
      <c r="AT29" s="18" t="s">
        <v>952</v>
      </c>
      <c r="AU29" s="17"/>
      <c r="AV29" s="17" t="s">
        <v>374</v>
      </c>
      <c r="AW29" s="23"/>
      <c r="AX29" s="23"/>
      <c r="AY29" s="23"/>
      <c r="AZ29" s="23"/>
      <c r="BA29" s="23"/>
      <c r="BB29" s="23"/>
      <c r="BC29" s="23"/>
      <c r="BD29" s="52">
        <f>SUM(AX29:BC29)</f>
        <v>0</v>
      </c>
      <c r="BE29" s="17"/>
      <c r="BF29" s="17"/>
      <c r="BG29" s="16" t="s">
        <v>58</v>
      </c>
      <c r="BH29" s="10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49"/>
    </row>
    <row r="30" spans="1:173" s="48" customFormat="1" ht="37.5" customHeight="1">
      <c r="A30" s="21"/>
      <c r="B30" s="21">
        <v>49</v>
      </c>
      <c r="C30" s="21"/>
      <c r="D30" s="21"/>
      <c r="E30" s="69" t="s">
        <v>951</v>
      </c>
      <c r="F30" s="69" t="s">
        <v>950</v>
      </c>
      <c r="G30" s="69" t="s">
        <v>949</v>
      </c>
      <c r="H30" s="29">
        <v>45962</v>
      </c>
      <c r="I30" s="73"/>
      <c r="J30" s="73"/>
      <c r="K30" s="54"/>
      <c r="L30" s="47" t="s">
        <v>39</v>
      </c>
      <c r="M30" s="26" t="s">
        <v>38</v>
      </c>
      <c r="N30" s="25" t="s">
        <v>59</v>
      </c>
      <c r="O30" s="23" t="s">
        <v>13</v>
      </c>
      <c r="P30" s="23" t="s">
        <v>12</v>
      </c>
      <c r="Q30" s="16" t="s">
        <v>57</v>
      </c>
      <c r="R30" s="23" t="s">
        <v>163</v>
      </c>
      <c r="S30" s="23" t="s">
        <v>37</v>
      </c>
      <c r="T30" s="23" t="s">
        <v>37</v>
      </c>
      <c r="U30" s="23" t="s">
        <v>508</v>
      </c>
      <c r="V30" s="23" t="s">
        <v>66</v>
      </c>
      <c r="W30" s="23" t="s">
        <v>27</v>
      </c>
      <c r="X30" s="21" t="s">
        <v>5</v>
      </c>
      <c r="Y30" s="23" t="s">
        <v>4</v>
      </c>
      <c r="Z30" s="23" t="s">
        <v>18</v>
      </c>
      <c r="AA30" s="21">
        <v>3</v>
      </c>
      <c r="AB30" s="21">
        <v>5</v>
      </c>
      <c r="AC30" s="21">
        <v>3</v>
      </c>
      <c r="AD30" s="21">
        <v>5</v>
      </c>
      <c r="AE30" s="21">
        <v>3</v>
      </c>
      <c r="AF30" s="21">
        <v>3</v>
      </c>
      <c r="AG30" s="21">
        <v>3</v>
      </c>
      <c r="AH30" s="22">
        <f>(AA30*$AA$2)+(AB30*$AB$2)+(AC30*$AC$2)+(AD30*$AD$2)+(AE30*$AE$2)+(AF30*$AF$2)+(AG30*$AG$2)</f>
        <v>375</v>
      </c>
      <c r="AI30" s="21">
        <v>5</v>
      </c>
      <c r="AJ30" s="21">
        <v>5</v>
      </c>
      <c r="AK30" s="21">
        <v>3</v>
      </c>
      <c r="AL30" s="21">
        <v>5</v>
      </c>
      <c r="AM30" s="21">
        <v>3</v>
      </c>
      <c r="AN30" s="21">
        <v>5</v>
      </c>
      <c r="AO30" s="21">
        <v>5</v>
      </c>
      <c r="AP30" s="21">
        <f>(AI30*$AI$2)+(AJ30*$AJ$2)+(AK30*$AK$2)+(AL30*$AL$2)+(AM30*$AM$2)+(AN30*$AN$2)+(AO30*$AO$2)</f>
        <v>465</v>
      </c>
      <c r="AQ30" s="21">
        <f>AP30+AH30</f>
        <v>840</v>
      </c>
      <c r="AR30" s="106" t="s">
        <v>670</v>
      </c>
      <c r="AS30" s="106" t="s">
        <v>948</v>
      </c>
      <c r="AT30" s="18">
        <v>100000</v>
      </c>
      <c r="AU30" s="21"/>
      <c r="AV30" s="7"/>
      <c r="AW30" s="21"/>
      <c r="AX30" s="21"/>
      <c r="AY30" s="21"/>
      <c r="AZ30" s="21"/>
      <c r="BA30" s="21"/>
      <c r="BB30" s="21"/>
      <c r="BC30" s="21"/>
      <c r="BD30" s="52">
        <f>SUM(AX30:BC30)</f>
        <v>0</v>
      </c>
      <c r="BE30" s="21"/>
      <c r="BF30" s="21"/>
      <c r="BG30" s="16" t="s">
        <v>0</v>
      </c>
      <c r="BH30" s="51"/>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c r="DB30" s="50"/>
      <c r="DC30" s="50"/>
      <c r="DD30" s="50"/>
      <c r="DE30" s="50"/>
      <c r="DF30" s="50"/>
      <c r="DG30" s="50"/>
      <c r="DH30" s="50"/>
      <c r="DI30" s="50"/>
      <c r="DJ30" s="50"/>
      <c r="DK30" s="50"/>
      <c r="DL30" s="50"/>
      <c r="DM30" s="50"/>
      <c r="DN30" s="50"/>
      <c r="DO30" s="50"/>
      <c r="DP30" s="50"/>
      <c r="DQ30" s="50"/>
      <c r="DR30" s="50"/>
      <c r="DS30" s="50"/>
      <c r="DT30" s="50"/>
      <c r="DU30" s="50"/>
      <c r="DV30" s="50"/>
      <c r="DW30" s="50"/>
      <c r="DX30" s="50"/>
      <c r="DY30" s="50"/>
      <c r="DZ30" s="50"/>
      <c r="EA30" s="50"/>
      <c r="EB30" s="50"/>
      <c r="EC30" s="50"/>
      <c r="ED30" s="50"/>
      <c r="EE30" s="50"/>
      <c r="EF30" s="50"/>
      <c r="EG30" s="50"/>
      <c r="EH30" s="50"/>
      <c r="EI30" s="50"/>
      <c r="EJ30" s="50"/>
      <c r="EK30" s="50"/>
      <c r="EL30" s="50"/>
      <c r="EM30" s="50"/>
      <c r="EN30" s="50"/>
      <c r="EO30" s="50"/>
      <c r="EP30" s="50"/>
      <c r="EQ30" s="50"/>
      <c r="ER30" s="50"/>
      <c r="ES30" s="50"/>
      <c r="ET30" s="50"/>
      <c r="EU30" s="50"/>
      <c r="EV30" s="50"/>
      <c r="EW30" s="50"/>
      <c r="EX30" s="50"/>
      <c r="EY30" s="50"/>
      <c r="EZ30" s="50"/>
      <c r="FA30" s="50"/>
      <c r="FB30" s="50"/>
      <c r="FC30" s="50"/>
      <c r="FD30" s="50"/>
      <c r="FE30" s="50"/>
      <c r="FF30" s="50"/>
      <c r="FG30" s="50"/>
      <c r="FH30" s="50"/>
      <c r="FI30" s="50"/>
      <c r="FJ30" s="50"/>
      <c r="FK30" s="50"/>
      <c r="FL30" s="50"/>
      <c r="FM30" s="50"/>
      <c r="FN30" s="50"/>
      <c r="FO30" s="50"/>
      <c r="FP30" s="50"/>
      <c r="FQ30" s="59"/>
    </row>
    <row r="31" spans="1:173" s="108" customFormat="1" ht="127.25" customHeight="1">
      <c r="A31" s="21" t="s">
        <v>947</v>
      </c>
      <c r="B31" s="21">
        <v>11</v>
      </c>
      <c r="C31" s="21"/>
      <c r="D31" s="21"/>
      <c r="E31" s="69" t="s">
        <v>946</v>
      </c>
      <c r="F31" s="69" t="s">
        <v>945</v>
      </c>
      <c r="G31" s="69" t="s">
        <v>944</v>
      </c>
      <c r="H31" s="29" t="s">
        <v>502</v>
      </c>
      <c r="I31" s="73">
        <v>45412</v>
      </c>
      <c r="J31" s="73">
        <v>45992</v>
      </c>
      <c r="K31" s="194">
        <f>$K$2-I31</f>
        <v>518</v>
      </c>
      <c r="L31" s="47" t="s">
        <v>14</v>
      </c>
      <c r="M31" s="26" t="s">
        <v>196</v>
      </c>
      <c r="N31" s="26" t="s">
        <v>59</v>
      </c>
      <c r="O31" s="23" t="s">
        <v>50</v>
      </c>
      <c r="P31" s="23" t="s">
        <v>33</v>
      </c>
      <c r="Q31" s="16" t="s">
        <v>129</v>
      </c>
      <c r="R31" s="23"/>
      <c r="S31" s="23" t="s">
        <v>721</v>
      </c>
      <c r="T31" s="23" t="s">
        <v>721</v>
      </c>
      <c r="U31" s="23" t="s">
        <v>943</v>
      </c>
      <c r="V31" s="23" t="s">
        <v>56</v>
      </c>
      <c r="W31" s="22" t="s">
        <v>6</v>
      </c>
      <c r="X31" s="21" t="s">
        <v>5</v>
      </c>
      <c r="Y31" s="21" t="s">
        <v>4</v>
      </c>
      <c r="Z31" s="23" t="s">
        <v>3</v>
      </c>
      <c r="AA31" s="21">
        <v>5</v>
      </c>
      <c r="AB31" s="21">
        <v>5</v>
      </c>
      <c r="AC31" s="21">
        <v>5</v>
      </c>
      <c r="AD31" s="21">
        <v>5</v>
      </c>
      <c r="AE31" s="21">
        <v>5</v>
      </c>
      <c r="AF31" s="21">
        <v>3</v>
      </c>
      <c r="AG31" s="21">
        <v>5</v>
      </c>
      <c r="AH31" s="22">
        <f>(AA31*$AA$2)+(AB31*$AB$2)+(AC31*$AC$2)+(AD31*$AD$2)+(AE31*$AE$2)+(AF31*$AF$2)+(AG31*$AG$2)</f>
        <v>495</v>
      </c>
      <c r="AI31" s="21">
        <v>3</v>
      </c>
      <c r="AJ31" s="21">
        <v>1</v>
      </c>
      <c r="AK31" s="21">
        <v>1</v>
      </c>
      <c r="AL31" s="21">
        <v>5</v>
      </c>
      <c r="AM31" s="21">
        <v>3</v>
      </c>
      <c r="AN31" s="21">
        <v>1</v>
      </c>
      <c r="AO31" s="21">
        <v>3</v>
      </c>
      <c r="AP31" s="21">
        <f>(AI31*$AI$2)+(AJ31*$AJ$2)+(AK31*$AK$2)+(AL31*$AL$2)+(AM31*$AM$2)+(AN31*$AN$2)+(AO31*$AO$2)</f>
        <v>255</v>
      </c>
      <c r="AQ31" s="21">
        <f>AP31+AH31</f>
        <v>750</v>
      </c>
      <c r="AR31" s="69" t="s">
        <v>942</v>
      </c>
      <c r="AS31" s="20"/>
      <c r="AT31" s="23"/>
      <c r="AU31" s="103"/>
      <c r="AV31" s="17" t="s">
        <v>941</v>
      </c>
      <c r="AW31" s="17"/>
      <c r="AX31" s="17"/>
      <c r="AY31" s="17"/>
      <c r="AZ31" s="17"/>
      <c r="BA31" s="17"/>
      <c r="BB31" s="17"/>
      <c r="BC31" s="17"/>
      <c r="BD31" s="52">
        <f>SUM(AX31:BC31)</f>
        <v>0</v>
      </c>
      <c r="BE31" s="17"/>
      <c r="BF31" s="17"/>
      <c r="BG31" s="16" t="s">
        <v>192</v>
      </c>
      <c r="BH31" s="51"/>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S31" s="50"/>
      <c r="ET31" s="50"/>
      <c r="EU31" s="50"/>
      <c r="EV31" s="50"/>
      <c r="EW31" s="50"/>
      <c r="EX31" s="50"/>
      <c r="EY31" s="50"/>
      <c r="EZ31" s="50"/>
      <c r="FA31" s="50"/>
      <c r="FB31" s="50"/>
      <c r="FC31" s="50"/>
      <c r="FD31" s="50"/>
      <c r="FE31" s="50"/>
      <c r="FF31" s="50"/>
      <c r="FG31" s="50"/>
      <c r="FH31" s="50"/>
      <c r="FI31" s="50"/>
      <c r="FJ31" s="50"/>
      <c r="FK31" s="50"/>
      <c r="FL31" s="50"/>
      <c r="FM31" s="50"/>
      <c r="FN31" s="50"/>
      <c r="FO31" s="50"/>
      <c r="FP31" s="50"/>
      <c r="FQ31" s="50"/>
    </row>
    <row r="32" spans="1:173" s="109" customFormat="1" ht="45" customHeight="1">
      <c r="A32" s="21" t="s">
        <v>940</v>
      </c>
      <c r="B32" s="21">
        <v>96</v>
      </c>
      <c r="C32" s="21"/>
      <c r="D32" s="21"/>
      <c r="E32" s="69" t="s">
        <v>939</v>
      </c>
      <c r="F32" s="69" t="s">
        <v>938</v>
      </c>
      <c r="G32" s="69" t="s">
        <v>937</v>
      </c>
      <c r="H32" s="29" t="s">
        <v>502</v>
      </c>
      <c r="I32" s="73">
        <v>45672</v>
      </c>
      <c r="J32" s="73">
        <v>45850</v>
      </c>
      <c r="K32" s="54">
        <f>J32-I32</f>
        <v>178</v>
      </c>
      <c r="L32" s="47" t="s">
        <v>14</v>
      </c>
      <c r="M32" s="26" t="s">
        <v>196</v>
      </c>
      <c r="N32" s="26" t="s">
        <v>59</v>
      </c>
      <c r="O32" s="23" t="s">
        <v>45</v>
      </c>
      <c r="P32" s="23" t="s">
        <v>58</v>
      </c>
      <c r="Q32" s="23" t="s">
        <v>93</v>
      </c>
      <c r="R32" s="23" t="s">
        <v>8</v>
      </c>
      <c r="S32" s="23" t="s">
        <v>210</v>
      </c>
      <c r="T32" s="23" t="s">
        <v>936</v>
      </c>
      <c r="U32" s="23" t="s">
        <v>531</v>
      </c>
      <c r="V32" s="23" t="s">
        <v>66</v>
      </c>
      <c r="W32" s="22" t="s">
        <v>340</v>
      </c>
      <c r="X32" s="21" t="s">
        <v>5</v>
      </c>
      <c r="Y32" s="21" t="s">
        <v>4</v>
      </c>
      <c r="Z32" s="23" t="s">
        <v>3</v>
      </c>
      <c r="AA32" s="21">
        <v>3</v>
      </c>
      <c r="AB32" s="21">
        <v>5</v>
      </c>
      <c r="AC32" s="21">
        <v>5</v>
      </c>
      <c r="AD32" s="21">
        <v>5</v>
      </c>
      <c r="AE32" s="21">
        <v>3</v>
      </c>
      <c r="AF32" s="21">
        <v>3</v>
      </c>
      <c r="AG32" s="21">
        <v>3</v>
      </c>
      <c r="AH32" s="22">
        <f>(AA32*$AA$2)+(AB32*$AB$2)+(AC32*$AC$2)+(AD32*$AD$2)+(AE32*$AE$2)+(AF32*$AF$2)+(AG32*$AG$2)</f>
        <v>405</v>
      </c>
      <c r="AI32" s="21">
        <v>3</v>
      </c>
      <c r="AJ32" s="21">
        <v>4</v>
      </c>
      <c r="AK32" s="21">
        <v>2</v>
      </c>
      <c r="AL32" s="21">
        <v>5</v>
      </c>
      <c r="AM32" s="21">
        <v>3</v>
      </c>
      <c r="AN32" s="21">
        <v>1</v>
      </c>
      <c r="AO32" s="21">
        <v>3</v>
      </c>
      <c r="AP32" s="21">
        <f>(AI32*$AI$2)+(AJ32*$AJ$2)+(AK32*$AK$2)+(AL32*$AL$2)+(AM32*$AM$2)+(AN32*$AN$2)+(AO32*$AO$2)</f>
        <v>315</v>
      </c>
      <c r="AQ32" s="21">
        <f>AP32+AH32</f>
        <v>720</v>
      </c>
      <c r="AR32" s="88" t="s">
        <v>935</v>
      </c>
      <c r="AS32" s="88"/>
      <c r="AT32" s="18">
        <v>144000</v>
      </c>
      <c r="AU32" s="17"/>
      <c r="AV32" s="17" t="s">
        <v>374</v>
      </c>
      <c r="AW32" s="23"/>
      <c r="AX32" s="23"/>
      <c r="AY32" s="23"/>
      <c r="AZ32" s="23"/>
      <c r="BA32" s="23"/>
      <c r="BB32" s="23"/>
      <c r="BC32" s="23"/>
      <c r="BD32" s="52">
        <f>SUM(AX32:BC32)</f>
        <v>0</v>
      </c>
      <c r="BE32" s="17"/>
      <c r="BF32" s="17"/>
      <c r="BG32" s="16" t="s">
        <v>58</v>
      </c>
      <c r="BH32" s="51"/>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c r="DX32" s="50"/>
      <c r="DY32" s="50"/>
      <c r="DZ32" s="50"/>
      <c r="EA32" s="50"/>
      <c r="EB32" s="50"/>
      <c r="EC32" s="50"/>
      <c r="ED32" s="50"/>
      <c r="EE32" s="50"/>
      <c r="EF32" s="50"/>
      <c r="EG32" s="50"/>
      <c r="EH32" s="50"/>
      <c r="EI32" s="50"/>
      <c r="EJ32" s="50"/>
      <c r="EK32" s="50"/>
      <c r="EL32" s="50"/>
      <c r="EM32" s="50"/>
      <c r="EN32" s="50"/>
      <c r="EO32" s="50"/>
      <c r="EP32" s="50"/>
      <c r="EQ32" s="50"/>
      <c r="ER32" s="50"/>
      <c r="ES32" s="50"/>
      <c r="ET32" s="50"/>
      <c r="EU32" s="50"/>
      <c r="EV32" s="50"/>
      <c r="EW32" s="50"/>
      <c r="EX32" s="50"/>
      <c r="EY32" s="50"/>
      <c r="EZ32" s="50"/>
      <c r="FA32" s="50"/>
      <c r="FB32" s="50"/>
      <c r="FC32" s="50"/>
      <c r="FD32" s="50"/>
      <c r="FE32" s="50"/>
      <c r="FF32" s="50"/>
      <c r="FG32" s="50"/>
      <c r="FH32" s="50"/>
      <c r="FI32" s="50"/>
      <c r="FJ32" s="50"/>
      <c r="FK32" s="50"/>
      <c r="FL32" s="50"/>
      <c r="FM32" s="50"/>
      <c r="FN32" s="50"/>
      <c r="FO32" s="50"/>
      <c r="FP32" s="50"/>
      <c r="FQ32" s="50"/>
    </row>
    <row r="33" spans="1:173" s="147" customFormat="1" ht="48.5" customHeight="1">
      <c r="A33" s="21"/>
      <c r="B33" s="21"/>
      <c r="C33" s="32"/>
      <c r="D33" s="21"/>
      <c r="E33" s="69" t="s">
        <v>934</v>
      </c>
      <c r="F33" s="69" t="s">
        <v>933</v>
      </c>
      <c r="G33" s="69"/>
      <c r="H33" s="29">
        <v>45962</v>
      </c>
      <c r="I33" s="29"/>
      <c r="J33" s="29"/>
      <c r="K33" s="54"/>
      <c r="L33" s="61" t="s">
        <v>39</v>
      </c>
      <c r="M33" s="26" t="s">
        <v>6</v>
      </c>
      <c r="N33" s="25"/>
      <c r="O33" s="23" t="s">
        <v>50</v>
      </c>
      <c r="P33" s="23" t="s">
        <v>12</v>
      </c>
      <c r="Q33" s="23"/>
      <c r="R33" s="23"/>
      <c r="S33" s="23" t="s">
        <v>92</v>
      </c>
      <c r="T33" s="23" t="s">
        <v>49</v>
      </c>
      <c r="U33" s="23" t="s">
        <v>490</v>
      </c>
      <c r="V33" s="23" t="s">
        <v>7</v>
      </c>
      <c r="W33" s="23"/>
      <c r="X33" s="21" t="s">
        <v>5</v>
      </c>
      <c r="Y33" s="21" t="s">
        <v>19</v>
      </c>
      <c r="Z33" s="23" t="s">
        <v>6</v>
      </c>
      <c r="AA33" s="22">
        <v>4</v>
      </c>
      <c r="AB33" s="22">
        <v>5</v>
      </c>
      <c r="AC33" s="22">
        <v>3</v>
      </c>
      <c r="AD33" s="22">
        <v>5</v>
      </c>
      <c r="AE33" s="22">
        <v>1</v>
      </c>
      <c r="AF33" s="22">
        <v>3</v>
      </c>
      <c r="AG33" s="22">
        <v>3</v>
      </c>
      <c r="AH33" s="22">
        <f>(AA33*$AA$2)+(AB33*$AB$2)+(AC33*$AC$2)+(AD33*$AD$2)+(AE33*$AE$2)+(AF33*$AF$2)+(AG33*$AG$2)</f>
        <v>360</v>
      </c>
      <c r="AI33" s="22">
        <v>5</v>
      </c>
      <c r="AJ33" s="22">
        <v>5</v>
      </c>
      <c r="AK33" s="22">
        <v>4</v>
      </c>
      <c r="AL33" s="22">
        <v>5</v>
      </c>
      <c r="AM33" s="22">
        <v>3</v>
      </c>
      <c r="AN33" s="22">
        <v>5</v>
      </c>
      <c r="AO33" s="22">
        <v>5</v>
      </c>
      <c r="AP33" s="21">
        <f>(AI33*$AI$2)+(AJ33*$AJ$2)+(AK33*$AK$2)+(AL33*$AL$2)+(AM33*$AM$2)+(AN33*$AN$2)+(AO33*$AO$2)</f>
        <v>480</v>
      </c>
      <c r="AQ33" s="21">
        <f>AP33+AH33</f>
        <v>840</v>
      </c>
      <c r="AR33" s="20"/>
      <c r="AS33" s="20"/>
      <c r="AT33" s="18"/>
      <c r="AU33" s="17"/>
      <c r="AV33" s="103"/>
      <c r="AW33" s="17"/>
      <c r="AX33" s="17"/>
      <c r="AY33" s="17"/>
      <c r="AZ33" s="17"/>
      <c r="BA33" s="17"/>
      <c r="BB33" s="17"/>
      <c r="BC33" s="17"/>
      <c r="BD33" s="17"/>
      <c r="BE33" s="17"/>
      <c r="BF33" s="17"/>
      <c r="BG33" s="16"/>
      <c r="BH33" s="48"/>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row>
    <row r="34" spans="1:173" s="147" customFormat="1" ht="112.5" customHeight="1">
      <c r="A34" s="21"/>
      <c r="B34" s="21">
        <v>1</v>
      </c>
      <c r="C34" s="21" t="s">
        <v>932</v>
      </c>
      <c r="D34" s="21"/>
      <c r="E34" s="69" t="s">
        <v>931</v>
      </c>
      <c r="F34" s="69" t="s">
        <v>930</v>
      </c>
      <c r="G34" s="69"/>
      <c r="H34" s="29">
        <v>45658</v>
      </c>
      <c r="I34" s="73">
        <v>45659</v>
      </c>
      <c r="J34" s="73">
        <v>45809</v>
      </c>
      <c r="K34" s="54">
        <f>J34-I34</f>
        <v>150</v>
      </c>
      <c r="L34" s="47" t="s">
        <v>14</v>
      </c>
      <c r="M34" s="67" t="s">
        <v>60</v>
      </c>
      <c r="N34" s="67"/>
      <c r="O34" s="23" t="s">
        <v>13</v>
      </c>
      <c r="P34" s="23" t="s">
        <v>58</v>
      </c>
      <c r="Q34" s="23" t="s">
        <v>57</v>
      </c>
      <c r="R34" s="23" t="s">
        <v>163</v>
      </c>
      <c r="S34" s="23" t="s">
        <v>37</v>
      </c>
      <c r="T34" s="23" t="s">
        <v>37</v>
      </c>
      <c r="U34" s="23" t="s">
        <v>126</v>
      </c>
      <c r="V34" s="23" t="s">
        <v>66</v>
      </c>
      <c r="W34" s="23" t="s">
        <v>286</v>
      </c>
      <c r="X34" s="21" t="s">
        <v>5</v>
      </c>
      <c r="Y34" s="23" t="s">
        <v>126</v>
      </c>
      <c r="Z34" s="23" t="s">
        <v>147</v>
      </c>
      <c r="AA34" s="23">
        <v>3</v>
      </c>
      <c r="AB34" s="23">
        <v>5</v>
      </c>
      <c r="AC34" s="23">
        <v>4</v>
      </c>
      <c r="AD34" s="23">
        <v>5</v>
      </c>
      <c r="AE34" s="23">
        <v>1</v>
      </c>
      <c r="AF34" s="23">
        <v>3</v>
      </c>
      <c r="AG34" s="23">
        <v>3</v>
      </c>
      <c r="AH34" s="22">
        <f>(AA34*$AA$2)+(AB34*$AB$2)+(AC34*$AC$2)+(AD34*$AD$2)+(AE34*$AE$2)+(AF34*$AF$2)+(AG34*$AG$2)</f>
        <v>360</v>
      </c>
      <c r="AI34" s="23">
        <v>5</v>
      </c>
      <c r="AJ34" s="23">
        <v>5</v>
      </c>
      <c r="AK34" s="22">
        <v>2</v>
      </c>
      <c r="AL34" s="22">
        <v>3</v>
      </c>
      <c r="AM34" s="23">
        <v>5</v>
      </c>
      <c r="AN34" s="23">
        <v>3</v>
      </c>
      <c r="AO34" s="23">
        <v>3</v>
      </c>
      <c r="AP34" s="21">
        <f>(AI34*$AI$2)+(AJ34*$AJ$2)+(AK34*$AK$2)+(AL34*$AL$2)+(AM34*$AM$2)+(AN34*$AN$2)+(AO34*$AO$2)</f>
        <v>390</v>
      </c>
      <c r="AQ34" s="23">
        <f>AP34+AH34</f>
        <v>750</v>
      </c>
      <c r="AR34" s="20" t="s">
        <v>929</v>
      </c>
      <c r="AS34" s="20" t="s">
        <v>928</v>
      </c>
      <c r="AT34" s="18" t="s">
        <v>227</v>
      </c>
      <c r="AU34" s="17"/>
      <c r="AV34" s="102" t="s">
        <v>54</v>
      </c>
      <c r="AW34" s="17"/>
      <c r="AX34" s="17"/>
      <c r="AY34" s="17"/>
      <c r="AZ34" s="17">
        <v>0</v>
      </c>
      <c r="BA34" s="17">
        <v>0</v>
      </c>
      <c r="BB34" s="17">
        <v>0</v>
      </c>
      <c r="BC34" s="17"/>
      <c r="BD34" s="52">
        <f>SUM(AX34:BC34)</f>
        <v>0</v>
      </c>
      <c r="BE34" s="148"/>
      <c r="BF34" s="17"/>
      <c r="BG34" s="16" t="s">
        <v>58</v>
      </c>
      <c r="BH34" s="48"/>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c r="CX34" s="50"/>
      <c r="CY34" s="50"/>
      <c r="CZ34" s="50"/>
      <c r="DA34" s="50"/>
      <c r="DB34" s="50"/>
      <c r="DC34" s="50"/>
      <c r="DD34" s="50"/>
      <c r="DE34" s="50"/>
      <c r="DF34" s="50"/>
      <c r="DG34" s="50"/>
      <c r="DH34" s="50"/>
      <c r="DI34" s="50"/>
      <c r="DJ34" s="50"/>
      <c r="DK34" s="50"/>
      <c r="DL34" s="50"/>
      <c r="DM34" s="50"/>
      <c r="DN34" s="50"/>
      <c r="DO34" s="50"/>
      <c r="DP34" s="50"/>
      <c r="DQ34" s="50"/>
      <c r="DR34" s="50"/>
      <c r="DS34" s="50"/>
      <c r="DT34" s="50"/>
      <c r="DU34" s="50"/>
      <c r="DV34" s="50"/>
      <c r="DW34" s="50"/>
      <c r="DX34" s="50"/>
      <c r="DY34" s="50"/>
      <c r="DZ34" s="50"/>
      <c r="EA34" s="50"/>
      <c r="EB34" s="50"/>
      <c r="EC34" s="50"/>
      <c r="ED34" s="50"/>
      <c r="EE34" s="50"/>
      <c r="EF34" s="50"/>
      <c r="EG34" s="50"/>
      <c r="EH34" s="50"/>
      <c r="EI34" s="50"/>
      <c r="EJ34" s="50"/>
      <c r="EK34" s="50"/>
      <c r="EL34" s="50"/>
      <c r="EM34" s="50"/>
      <c r="EN34" s="50"/>
      <c r="EO34" s="50"/>
      <c r="EP34" s="50"/>
      <c r="EQ34" s="50"/>
      <c r="ER34" s="50"/>
      <c r="ES34" s="50"/>
      <c r="ET34" s="50"/>
      <c r="EU34" s="50"/>
      <c r="EV34" s="50"/>
      <c r="EW34" s="50"/>
      <c r="EX34" s="50"/>
      <c r="EY34" s="50"/>
      <c r="EZ34" s="50"/>
      <c r="FA34" s="50"/>
      <c r="FB34" s="50"/>
      <c r="FC34" s="50"/>
      <c r="FD34" s="50"/>
      <c r="FE34" s="50"/>
      <c r="FF34" s="50"/>
      <c r="FG34" s="50"/>
      <c r="FH34" s="50"/>
      <c r="FI34" s="50"/>
      <c r="FJ34" s="50"/>
      <c r="FK34" s="50"/>
      <c r="FL34" s="50"/>
      <c r="FM34" s="50"/>
      <c r="FN34" s="50"/>
      <c r="FO34" s="50"/>
      <c r="FP34" s="50"/>
      <c r="FQ34" s="1"/>
    </row>
    <row r="35" spans="1:173" s="147" customFormat="1" ht="75" customHeight="1">
      <c r="A35" s="21"/>
      <c r="B35" s="21">
        <v>68</v>
      </c>
      <c r="C35" s="21" t="s">
        <v>927</v>
      </c>
      <c r="D35" s="21"/>
      <c r="E35" s="69" t="s">
        <v>926</v>
      </c>
      <c r="F35" s="69" t="s">
        <v>925</v>
      </c>
      <c r="G35" s="69"/>
      <c r="H35" s="29">
        <v>45689</v>
      </c>
      <c r="I35" s="73">
        <v>45659</v>
      </c>
      <c r="J35" s="73">
        <v>45809</v>
      </c>
      <c r="K35" s="54">
        <f>J35-I35</f>
        <v>150</v>
      </c>
      <c r="L35" s="61" t="s">
        <v>14</v>
      </c>
      <c r="M35" s="67" t="s">
        <v>60</v>
      </c>
      <c r="N35" s="25"/>
      <c r="O35" s="23" t="s">
        <v>13</v>
      </c>
      <c r="P35" s="23" t="s">
        <v>58</v>
      </c>
      <c r="Q35" s="21"/>
      <c r="R35" s="102" t="s">
        <v>163</v>
      </c>
      <c r="S35" s="23" t="s">
        <v>37</v>
      </c>
      <c r="T35" s="23" t="s">
        <v>37</v>
      </c>
      <c r="U35" s="143"/>
      <c r="V35" s="23" t="s">
        <v>66</v>
      </c>
      <c r="W35" s="143" t="s">
        <v>27</v>
      </c>
      <c r="X35" s="21" t="s">
        <v>5</v>
      </c>
      <c r="Y35" s="23" t="s">
        <v>126</v>
      </c>
      <c r="Z35" s="22" t="s">
        <v>18</v>
      </c>
      <c r="AA35" s="23">
        <v>3</v>
      </c>
      <c r="AB35" s="23">
        <v>5</v>
      </c>
      <c r="AC35" s="23">
        <v>1</v>
      </c>
      <c r="AD35" s="23">
        <v>5</v>
      </c>
      <c r="AE35" s="23">
        <v>0</v>
      </c>
      <c r="AF35" s="23">
        <v>1</v>
      </c>
      <c r="AG35" s="23">
        <v>5</v>
      </c>
      <c r="AH35" s="22">
        <f>(AA35*$AA$2)+(AB35*$AB$2)+(AC35*$AC$2)+(AD35*$AD$2)+(AE35*$AE$2)+(AF35*$AF$2)+(AG35*$AG$2)</f>
        <v>300</v>
      </c>
      <c r="AI35" s="21">
        <v>5</v>
      </c>
      <c r="AJ35" s="21">
        <v>5</v>
      </c>
      <c r="AK35" s="21">
        <v>2</v>
      </c>
      <c r="AL35" s="21">
        <v>3</v>
      </c>
      <c r="AM35" s="21">
        <v>5</v>
      </c>
      <c r="AN35" s="21">
        <v>3</v>
      </c>
      <c r="AO35" s="21">
        <v>5</v>
      </c>
      <c r="AP35" s="21">
        <f>(AI35*$AI$2)+(AJ35*$AJ$2)+(AK35*$AK$2)+(AL35*$AL$2)+(AM35*$AM$2)+(AN35*$AN$2)+(AO35*$AO$2)</f>
        <v>420</v>
      </c>
      <c r="AQ35" s="21">
        <f>AP35+AH35</f>
        <v>720</v>
      </c>
      <c r="AR35" s="142" t="s">
        <v>924</v>
      </c>
      <c r="AS35" s="20" t="s">
        <v>576</v>
      </c>
      <c r="AT35" s="52" t="s">
        <v>166</v>
      </c>
      <c r="AU35" s="102"/>
      <c r="AV35" s="102" t="s">
        <v>54</v>
      </c>
      <c r="AW35" s="143"/>
      <c r="AX35" s="143"/>
      <c r="AY35" s="143"/>
      <c r="AZ35" s="143">
        <v>0</v>
      </c>
      <c r="BA35" s="143">
        <v>0</v>
      </c>
      <c r="BB35" s="143">
        <v>0</v>
      </c>
      <c r="BC35" s="143"/>
      <c r="BD35" s="52">
        <f>SUM(AX35:BC35)</f>
        <v>0</v>
      </c>
      <c r="BE35" s="102"/>
      <c r="BF35" s="102"/>
      <c r="BG35" s="16" t="s">
        <v>58</v>
      </c>
      <c r="BH35" s="48"/>
      <c r="BI35" s="50">
        <f>6300*12</f>
        <v>75600</v>
      </c>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E35" s="50"/>
      <c r="EF35" s="50"/>
      <c r="EG35" s="50"/>
      <c r="EH35" s="50"/>
      <c r="EI35" s="50"/>
      <c r="EJ35" s="50"/>
      <c r="EK35" s="50"/>
      <c r="EL35" s="50"/>
      <c r="EM35" s="50"/>
      <c r="EN35" s="50"/>
      <c r="EO35" s="50"/>
      <c r="EP35" s="50"/>
      <c r="EQ35" s="50"/>
      <c r="ER35" s="50"/>
      <c r="ES35" s="50"/>
      <c r="ET35" s="50"/>
      <c r="EU35" s="50"/>
      <c r="EV35" s="50"/>
      <c r="EW35" s="50"/>
      <c r="EX35" s="50"/>
      <c r="EY35" s="50"/>
      <c r="EZ35" s="50"/>
      <c r="FA35" s="50"/>
      <c r="FB35" s="50"/>
      <c r="FC35" s="50"/>
      <c r="FD35" s="50"/>
      <c r="FE35" s="50"/>
      <c r="FF35" s="50"/>
      <c r="FG35" s="50"/>
      <c r="FH35" s="50"/>
      <c r="FI35" s="50"/>
      <c r="FJ35" s="50"/>
      <c r="FK35" s="50"/>
      <c r="FL35" s="50"/>
      <c r="FM35" s="50"/>
      <c r="FN35" s="50"/>
      <c r="FO35" s="50"/>
      <c r="FP35" s="50"/>
      <c r="FQ35" s="50"/>
    </row>
    <row r="36" spans="1:173" s="109" customFormat="1" ht="50" customHeight="1">
      <c r="A36" s="21" t="s">
        <v>923</v>
      </c>
      <c r="B36" s="21">
        <v>1</v>
      </c>
      <c r="C36" s="21"/>
      <c r="D36" s="21"/>
      <c r="E36" s="69" t="s">
        <v>922</v>
      </c>
      <c r="F36" s="69" t="s">
        <v>921</v>
      </c>
      <c r="G36" s="69"/>
      <c r="H36" s="29">
        <v>45505</v>
      </c>
      <c r="I36" s="73">
        <v>45664</v>
      </c>
      <c r="J36" s="73">
        <v>45807</v>
      </c>
      <c r="K36" s="130">
        <f>J36-I36</f>
        <v>143</v>
      </c>
      <c r="L36" s="47" t="s">
        <v>14</v>
      </c>
      <c r="M36" s="26" t="s">
        <v>74</v>
      </c>
      <c r="N36" s="26"/>
      <c r="O36" s="23" t="s">
        <v>13</v>
      </c>
      <c r="P36" s="23" t="s">
        <v>58</v>
      </c>
      <c r="Q36" s="23" t="s">
        <v>510</v>
      </c>
      <c r="R36" s="23"/>
      <c r="S36" s="23" t="s">
        <v>288</v>
      </c>
      <c r="T36" s="134" t="s">
        <v>288</v>
      </c>
      <c r="U36" s="23" t="s">
        <v>287</v>
      </c>
      <c r="V36" s="23" t="s">
        <v>99</v>
      </c>
      <c r="W36" s="22" t="s">
        <v>286</v>
      </c>
      <c r="X36" s="21" t="s">
        <v>5</v>
      </c>
      <c r="Y36" s="21" t="s">
        <v>126</v>
      </c>
      <c r="Z36" s="22" t="s">
        <v>147</v>
      </c>
      <c r="AA36" s="21">
        <v>3</v>
      </c>
      <c r="AB36" s="21">
        <v>5</v>
      </c>
      <c r="AC36" s="21">
        <v>5</v>
      </c>
      <c r="AD36" s="21">
        <v>5</v>
      </c>
      <c r="AE36" s="21">
        <v>0</v>
      </c>
      <c r="AF36" s="21">
        <v>3</v>
      </c>
      <c r="AG36" s="21">
        <v>5</v>
      </c>
      <c r="AH36" s="22">
        <f>(AA36*$AA$2)+(AB36*$AB$2)+(AC36*$AC$2)+(AD36*$AD$2)+(AE36*$AE$2)+(AF36*$AF$2)+(AG36*$AG$2)</f>
        <v>390</v>
      </c>
      <c r="AI36" s="21">
        <v>5</v>
      </c>
      <c r="AJ36" s="21">
        <v>5</v>
      </c>
      <c r="AK36" s="21">
        <v>2</v>
      </c>
      <c r="AL36" s="21">
        <v>3</v>
      </c>
      <c r="AM36" s="21">
        <v>3</v>
      </c>
      <c r="AN36" s="21">
        <v>5</v>
      </c>
      <c r="AO36" s="21">
        <v>5</v>
      </c>
      <c r="AP36" s="21">
        <f>(AI36*$AI$2)+(AJ36*$AJ$2)+(AK36*$AK$2)+(AL36*$AL$2)+(AM36*$AM$2)+(AN36*$AN$2)+(AO36*$AO$2)</f>
        <v>420</v>
      </c>
      <c r="AQ36" s="21">
        <f>AP36+AH36</f>
        <v>810</v>
      </c>
      <c r="AR36" s="132" t="s">
        <v>920</v>
      </c>
      <c r="AS36" s="88"/>
      <c r="AT36" s="23" t="s">
        <v>866</v>
      </c>
      <c r="AU36" s="17"/>
      <c r="AV36" s="143" t="s">
        <v>453</v>
      </c>
      <c r="AW36" s="17"/>
      <c r="AX36" s="17"/>
      <c r="AY36" s="17"/>
      <c r="AZ36" s="17"/>
      <c r="BA36" s="17"/>
      <c r="BB36" s="17"/>
      <c r="BC36" s="17"/>
      <c r="BD36" s="52">
        <f>SUM(AX36:BC36)</f>
        <v>0</v>
      </c>
      <c r="BE36" s="17"/>
      <c r="BF36" s="17"/>
      <c r="BG36" s="16" t="s">
        <v>58</v>
      </c>
      <c r="BH36" s="48"/>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0"/>
      <c r="EX36" s="50"/>
      <c r="EY36" s="50"/>
      <c r="EZ36" s="50"/>
      <c r="FA36" s="50"/>
      <c r="FB36" s="50"/>
      <c r="FC36" s="50"/>
      <c r="FD36" s="50"/>
      <c r="FE36" s="50"/>
      <c r="FF36" s="50"/>
      <c r="FG36" s="50"/>
      <c r="FH36" s="50"/>
      <c r="FI36" s="50"/>
      <c r="FJ36" s="50"/>
      <c r="FK36" s="50"/>
      <c r="FL36" s="50"/>
      <c r="FM36" s="50"/>
      <c r="FN36" s="50"/>
      <c r="FO36" s="50"/>
      <c r="FP36" s="50"/>
      <c r="FQ36" s="50"/>
    </row>
    <row r="37" spans="1:173" s="147" customFormat="1" ht="62.5" customHeight="1">
      <c r="A37" s="161"/>
      <c r="B37" s="21">
        <v>31</v>
      </c>
      <c r="C37" s="21"/>
      <c r="D37" s="21"/>
      <c r="E37" s="69" t="s">
        <v>919</v>
      </c>
      <c r="F37" s="69" t="s">
        <v>918</v>
      </c>
      <c r="G37" s="69"/>
      <c r="H37" s="29">
        <v>45566</v>
      </c>
      <c r="I37" s="29">
        <v>45580</v>
      </c>
      <c r="J37" s="54" t="s">
        <v>107</v>
      </c>
      <c r="K37" s="17">
        <f ca="1">TODAY()-I37</f>
        <v>426</v>
      </c>
      <c r="L37" s="72" t="s">
        <v>496</v>
      </c>
      <c r="M37" s="26" t="s">
        <v>60</v>
      </c>
      <c r="N37" s="26"/>
      <c r="O37" s="23" t="s">
        <v>13</v>
      </c>
      <c r="P37" s="23" t="s">
        <v>33</v>
      </c>
      <c r="Q37" s="23" t="s">
        <v>11</v>
      </c>
      <c r="R37" s="23"/>
      <c r="S37" s="23" t="s">
        <v>363</v>
      </c>
      <c r="T37" s="23" t="s">
        <v>437</v>
      </c>
      <c r="U37" s="23" t="s">
        <v>163</v>
      </c>
      <c r="V37" s="23" t="s">
        <v>163</v>
      </c>
      <c r="W37" s="22" t="s">
        <v>559</v>
      </c>
      <c r="X37" s="21" t="s">
        <v>5</v>
      </c>
      <c r="Y37" s="21" t="s">
        <v>42</v>
      </c>
      <c r="Z37" s="22" t="s">
        <v>3</v>
      </c>
      <c r="AA37" s="21">
        <v>5</v>
      </c>
      <c r="AB37" s="21">
        <v>5</v>
      </c>
      <c r="AC37" s="21">
        <v>3</v>
      </c>
      <c r="AD37" s="21">
        <v>5</v>
      </c>
      <c r="AE37" s="21">
        <v>0</v>
      </c>
      <c r="AF37" s="21">
        <v>3</v>
      </c>
      <c r="AG37" s="21">
        <v>3</v>
      </c>
      <c r="AH37" s="22">
        <f>(AA37*$AA$2)+(AB37*$AB$2)+(AC37*$AC$2)+(AD37*$AD$2)+(AE37*$AE$2)+(AF37*$AF$2)+(AG37*$AG$2)</f>
        <v>360</v>
      </c>
      <c r="AI37" s="21">
        <v>5</v>
      </c>
      <c r="AJ37" s="21">
        <v>4</v>
      </c>
      <c r="AK37" s="21">
        <v>1</v>
      </c>
      <c r="AL37" s="21">
        <v>3</v>
      </c>
      <c r="AM37" s="21">
        <v>1</v>
      </c>
      <c r="AN37" s="21">
        <v>1</v>
      </c>
      <c r="AO37" s="21">
        <v>3</v>
      </c>
      <c r="AP37" s="21">
        <f>(AI37*$AI$2)+(AJ37*$AJ$2)+(AK37*$AK$2)+(AL37*$AL$2)+(AM37*$AM$2)+(AN37*$AN$2)+(AO37*$AO$2)</f>
        <v>270</v>
      </c>
      <c r="AQ37" s="21">
        <f>AP37+AH37</f>
        <v>630</v>
      </c>
      <c r="AR37" s="112" t="s">
        <v>917</v>
      </c>
      <c r="AS37" s="112" t="s">
        <v>916</v>
      </c>
      <c r="AT37" s="23"/>
      <c r="AU37" s="17"/>
      <c r="AV37" s="17" t="s">
        <v>54</v>
      </c>
      <c r="AW37" s="17"/>
      <c r="AX37" s="17"/>
      <c r="AY37" s="17"/>
      <c r="AZ37" s="17"/>
      <c r="BA37" s="17"/>
      <c r="BB37" s="17"/>
      <c r="BC37" s="17"/>
      <c r="BD37" s="52">
        <f>SUM(AX37:BC37)</f>
        <v>0</v>
      </c>
      <c r="BE37" s="17"/>
      <c r="BF37" s="17"/>
      <c r="BG37" s="16" t="s">
        <v>711</v>
      </c>
      <c r="BH37" s="48"/>
      <c r="BI37" s="50"/>
      <c r="BJ37" s="50"/>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row>
    <row r="38" spans="1:173" s="50" customFormat="1" ht="65">
      <c r="A38" s="21"/>
      <c r="B38" s="21">
        <v>24</v>
      </c>
      <c r="C38" s="21"/>
      <c r="D38" s="21"/>
      <c r="E38" s="69" t="s">
        <v>915</v>
      </c>
      <c r="F38" s="69" t="s">
        <v>914</v>
      </c>
      <c r="G38" s="69" t="s">
        <v>913</v>
      </c>
      <c r="H38" s="29">
        <v>45723</v>
      </c>
      <c r="I38" s="73"/>
      <c r="J38" s="73"/>
      <c r="K38" s="54"/>
      <c r="L38" s="47" t="s">
        <v>39</v>
      </c>
      <c r="M38" s="16" t="s">
        <v>6</v>
      </c>
      <c r="N38" s="16"/>
      <c r="O38" s="23" t="s">
        <v>13</v>
      </c>
      <c r="P38" s="23" t="s">
        <v>12</v>
      </c>
      <c r="Q38" s="23" t="s">
        <v>57</v>
      </c>
      <c r="R38" s="23" t="s">
        <v>163</v>
      </c>
      <c r="S38" s="23" t="s">
        <v>222</v>
      </c>
      <c r="T38" s="23" t="s">
        <v>266</v>
      </c>
      <c r="U38" s="23"/>
      <c r="V38" s="23" t="s">
        <v>7</v>
      </c>
      <c r="W38" s="23" t="s">
        <v>6</v>
      </c>
      <c r="X38" s="21" t="s">
        <v>5</v>
      </c>
      <c r="Y38" s="23" t="s">
        <v>126</v>
      </c>
      <c r="Z38" s="23" t="s">
        <v>3</v>
      </c>
      <c r="AA38" s="23">
        <v>5</v>
      </c>
      <c r="AB38" s="23">
        <v>5</v>
      </c>
      <c r="AC38" s="23">
        <v>1</v>
      </c>
      <c r="AD38" s="23">
        <v>5</v>
      </c>
      <c r="AE38" s="23">
        <v>1</v>
      </c>
      <c r="AF38" s="23">
        <v>3</v>
      </c>
      <c r="AG38" s="23">
        <v>3</v>
      </c>
      <c r="AH38" s="22">
        <f>(AA38*$AA$2)+(AB38*$AB$2)+(AC38*$AC$2)+(AD38*$AD$2)+(AE38*$AE$2)+(AF38*$AF$2)+(AG38*$AG$2)</f>
        <v>345</v>
      </c>
      <c r="AI38" s="23">
        <v>5</v>
      </c>
      <c r="AJ38" s="23">
        <v>5</v>
      </c>
      <c r="AK38" s="23">
        <v>2</v>
      </c>
      <c r="AL38" s="23">
        <v>5</v>
      </c>
      <c r="AM38" s="23">
        <v>5</v>
      </c>
      <c r="AN38" s="23">
        <v>5</v>
      </c>
      <c r="AO38" s="23">
        <v>5</v>
      </c>
      <c r="AP38" s="21">
        <f>(AI38*$AI$2)+(AJ38*$AJ$2)+(AK38*$AK$2)+(AL38*$AL$2)+(AM38*$AM$2)+(AN38*$AN$2)+(AO38*$AO$2)</f>
        <v>480</v>
      </c>
      <c r="AQ38" s="21">
        <f>AP38+AH38</f>
        <v>825</v>
      </c>
      <c r="AR38" s="20" t="s">
        <v>912</v>
      </c>
      <c r="AS38" s="80" t="s">
        <v>911</v>
      </c>
      <c r="AT38" s="18">
        <v>50000</v>
      </c>
      <c r="AU38" s="23"/>
      <c r="AV38" s="23"/>
      <c r="AW38" s="23"/>
      <c r="AX38" s="23"/>
      <c r="AY38" s="23"/>
      <c r="AZ38" s="23"/>
      <c r="BA38" s="23"/>
      <c r="BB38" s="23"/>
      <c r="BC38" s="23"/>
      <c r="BD38" s="52">
        <f>SUM(AX38:BC38)</f>
        <v>0</v>
      </c>
      <c r="BE38" s="23"/>
      <c r="BF38" s="23"/>
      <c r="BG38" s="16" t="s">
        <v>0</v>
      </c>
      <c r="BH38" s="48"/>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row>
    <row r="39" spans="1:173" s="108" customFormat="1" ht="39">
      <c r="A39" s="21"/>
      <c r="B39" s="21"/>
      <c r="C39" s="32"/>
      <c r="D39" s="21"/>
      <c r="E39" s="69" t="s">
        <v>910</v>
      </c>
      <c r="F39" s="69" t="s">
        <v>909</v>
      </c>
      <c r="G39" s="69" t="s">
        <v>908</v>
      </c>
      <c r="H39" s="29">
        <v>45964</v>
      </c>
      <c r="I39" s="29"/>
      <c r="J39" s="29"/>
      <c r="K39" s="76"/>
      <c r="L39" s="61" t="s">
        <v>39</v>
      </c>
      <c r="M39" s="26" t="s">
        <v>38</v>
      </c>
      <c r="N39" s="25"/>
      <c r="O39" s="23" t="s">
        <v>13</v>
      </c>
      <c r="P39" s="23" t="s">
        <v>12</v>
      </c>
      <c r="Q39" s="23"/>
      <c r="R39" s="23"/>
      <c r="S39" s="23" t="s">
        <v>37</v>
      </c>
      <c r="T39" s="23"/>
      <c r="U39" s="23"/>
      <c r="V39" s="23" t="s">
        <v>28</v>
      </c>
      <c r="W39" s="23"/>
      <c r="X39" s="21" t="s">
        <v>5</v>
      </c>
      <c r="Y39" s="21" t="s">
        <v>42</v>
      </c>
      <c r="Z39" s="67" t="s">
        <v>18</v>
      </c>
      <c r="AA39" s="22">
        <v>5</v>
      </c>
      <c r="AB39" s="22">
        <v>5</v>
      </c>
      <c r="AC39" s="22">
        <v>3</v>
      </c>
      <c r="AD39" s="22">
        <v>5</v>
      </c>
      <c r="AE39" s="22">
        <v>1</v>
      </c>
      <c r="AF39" s="22">
        <v>3</v>
      </c>
      <c r="AG39" s="22">
        <v>3</v>
      </c>
      <c r="AH39" s="22">
        <f>(AA39*$AA$2)+(AB39*$AB$2)+(AC39*$AC$2)+(AD39*$AD$2)+(AE39*$AE$2)+(AF39*$AF$2)+(AG39*$AG$2)</f>
        <v>375</v>
      </c>
      <c r="AI39" s="22">
        <v>5</v>
      </c>
      <c r="AJ39" s="22">
        <v>5</v>
      </c>
      <c r="AK39" s="22">
        <v>2</v>
      </c>
      <c r="AL39" s="22">
        <v>5</v>
      </c>
      <c r="AM39" s="22">
        <v>3</v>
      </c>
      <c r="AN39" s="22">
        <v>5</v>
      </c>
      <c r="AO39" s="22">
        <v>5</v>
      </c>
      <c r="AP39" s="21">
        <f>(AI39*$AI$2)+(AJ39*$AJ$2)+(AK39*$AK$2)+(AL39*$AL$2)+(AM39*$AM$2)+(AN39*$AN$2)+(AO39*$AO$2)</f>
        <v>450</v>
      </c>
      <c r="AQ39" s="21">
        <f>AP39+AH39</f>
        <v>825</v>
      </c>
      <c r="AR39" s="20"/>
      <c r="AS39" s="20"/>
      <c r="AT39" s="18"/>
      <c r="AU39" s="17"/>
      <c r="AV39" s="17"/>
      <c r="AW39" s="17"/>
      <c r="AX39" s="17"/>
      <c r="AY39" s="17"/>
      <c r="AZ39" s="17"/>
      <c r="BA39" s="17"/>
      <c r="BB39" s="17"/>
      <c r="BC39" s="17"/>
      <c r="BD39" s="17"/>
      <c r="BE39" s="17"/>
      <c r="BF39" s="17"/>
      <c r="BG39" s="16"/>
      <c r="BH39" s="48"/>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row>
    <row r="40" spans="1:173" s="108" customFormat="1" ht="52.5" customHeight="1">
      <c r="A40" s="21"/>
      <c r="B40" s="21">
        <v>15</v>
      </c>
      <c r="C40" s="16"/>
      <c r="D40" s="21"/>
      <c r="E40" s="69" t="s">
        <v>907</v>
      </c>
      <c r="F40" s="69" t="s">
        <v>906</v>
      </c>
      <c r="G40" s="69" t="s">
        <v>905</v>
      </c>
      <c r="H40" s="29">
        <v>45689</v>
      </c>
      <c r="I40" s="73">
        <v>45809</v>
      </c>
      <c r="J40" s="73">
        <v>45950</v>
      </c>
      <c r="K40" s="54">
        <f>J40-I40</f>
        <v>141</v>
      </c>
      <c r="L40" s="61" t="s">
        <v>14</v>
      </c>
      <c r="M40" s="67" t="s">
        <v>60</v>
      </c>
      <c r="N40" s="145" t="s">
        <v>59</v>
      </c>
      <c r="O40" s="23" t="s">
        <v>13</v>
      </c>
      <c r="P40" s="23" t="s">
        <v>58</v>
      </c>
      <c r="Q40" s="16" t="s">
        <v>57</v>
      </c>
      <c r="R40" s="23" t="s">
        <v>163</v>
      </c>
      <c r="S40" s="23" t="s">
        <v>37</v>
      </c>
      <c r="T40" s="23" t="s">
        <v>37</v>
      </c>
      <c r="U40" s="23"/>
      <c r="V40" s="23" t="s">
        <v>66</v>
      </c>
      <c r="W40" s="70" t="s">
        <v>27</v>
      </c>
      <c r="X40" s="21" t="s">
        <v>5</v>
      </c>
      <c r="Y40" s="70" t="s">
        <v>4</v>
      </c>
      <c r="Z40" s="70" t="s">
        <v>18</v>
      </c>
      <c r="AA40" s="70">
        <v>3</v>
      </c>
      <c r="AB40" s="70">
        <v>5</v>
      </c>
      <c r="AC40" s="70">
        <v>1</v>
      </c>
      <c r="AD40" s="70">
        <v>5</v>
      </c>
      <c r="AE40" s="70">
        <v>0</v>
      </c>
      <c r="AF40" s="70">
        <v>5</v>
      </c>
      <c r="AG40" s="70">
        <v>3</v>
      </c>
      <c r="AH40" s="71">
        <f>(AA40*$AA$2)+(AB40*$AB$2)+(AC40*$AC$2)+(AD40*$AD$2)+(AE40*$AE$2)+(AF40*$AF$2)+(AG40*$AG$2)</f>
        <v>330</v>
      </c>
      <c r="AI40" s="70">
        <v>5</v>
      </c>
      <c r="AJ40" s="70">
        <v>5</v>
      </c>
      <c r="AK40" s="70">
        <v>4</v>
      </c>
      <c r="AL40" s="70">
        <v>3</v>
      </c>
      <c r="AM40" s="70">
        <v>3</v>
      </c>
      <c r="AN40" s="70">
        <v>3</v>
      </c>
      <c r="AO40" s="70">
        <v>3</v>
      </c>
      <c r="AP40" s="21">
        <f>(AI40*$AI$2)+(AJ40*$AJ$2)+(AK40*$AK$2)+(AL40*$AL$2)+(AM40*$AM$2)+(AN40*$AN$2)+(AO40*$AO$2)</f>
        <v>390</v>
      </c>
      <c r="AQ40" s="70">
        <f>AP40+AH40</f>
        <v>720</v>
      </c>
      <c r="AR40" s="20" t="s">
        <v>904</v>
      </c>
      <c r="AS40" s="20"/>
      <c r="AT40" s="18">
        <v>20000</v>
      </c>
      <c r="AU40" s="17"/>
      <c r="AV40" s="7" t="s">
        <v>54</v>
      </c>
      <c r="AW40" s="17"/>
      <c r="AX40" s="17"/>
      <c r="AY40" s="17"/>
      <c r="AZ40" s="17"/>
      <c r="BA40" s="17"/>
      <c r="BB40" s="17"/>
      <c r="BC40" s="17"/>
      <c r="BD40" s="52">
        <f>SUM(AX40:BC40)</f>
        <v>0</v>
      </c>
      <c r="BE40" s="17"/>
      <c r="BF40" s="17"/>
      <c r="BG40" s="125" t="s">
        <v>58</v>
      </c>
      <c r="BH40" s="193"/>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c r="DB40" s="50"/>
      <c r="DC40" s="50"/>
      <c r="DD40" s="50"/>
      <c r="DE40" s="50"/>
      <c r="DF40" s="50"/>
      <c r="DG40" s="50"/>
      <c r="DH40" s="50"/>
      <c r="DI40" s="50"/>
      <c r="DJ40" s="50"/>
      <c r="DK40" s="50"/>
      <c r="DL40" s="50"/>
      <c r="DM40" s="50"/>
      <c r="DN40" s="50"/>
      <c r="DO40" s="50"/>
      <c r="DP40" s="50"/>
      <c r="DQ40" s="50"/>
      <c r="DR40" s="50"/>
      <c r="DS40" s="50"/>
      <c r="DT40" s="50"/>
      <c r="DU40" s="50"/>
      <c r="DV40" s="50"/>
      <c r="DW40" s="50"/>
      <c r="DX40" s="50"/>
      <c r="DY40" s="50"/>
      <c r="DZ40" s="50"/>
      <c r="EA40" s="50"/>
      <c r="EB40" s="50"/>
      <c r="EC40" s="50"/>
      <c r="ED40" s="50"/>
      <c r="EE40" s="50"/>
      <c r="EF40" s="50"/>
      <c r="EG40" s="50"/>
      <c r="EH40" s="50"/>
      <c r="EI40" s="50"/>
      <c r="EJ40" s="50"/>
      <c r="EK40" s="50"/>
      <c r="EL40" s="50"/>
      <c r="EM40" s="50"/>
      <c r="EN40" s="50"/>
      <c r="EO40" s="50"/>
      <c r="EP40" s="50"/>
      <c r="EQ40" s="50"/>
      <c r="ER40" s="50"/>
      <c r="ES40" s="50"/>
      <c r="ET40" s="50"/>
      <c r="EU40" s="50"/>
      <c r="EV40" s="50"/>
      <c r="EW40" s="50"/>
      <c r="EX40" s="50"/>
      <c r="EY40" s="50"/>
      <c r="EZ40" s="50"/>
      <c r="FA40" s="50"/>
      <c r="FB40" s="50"/>
      <c r="FC40" s="50"/>
      <c r="FD40" s="50"/>
      <c r="FE40" s="50"/>
      <c r="FF40" s="50"/>
      <c r="FG40" s="50"/>
      <c r="FH40" s="50"/>
      <c r="FI40" s="50"/>
      <c r="FJ40" s="50"/>
      <c r="FK40" s="50"/>
      <c r="FL40" s="50"/>
      <c r="FM40" s="50"/>
      <c r="FN40" s="50"/>
      <c r="FO40" s="50"/>
      <c r="FP40" s="50"/>
      <c r="FQ40" s="50"/>
    </row>
    <row r="41" spans="1:173" s="109" customFormat="1" ht="39" customHeight="1">
      <c r="A41" s="21"/>
      <c r="B41" s="21">
        <v>1</v>
      </c>
      <c r="C41" s="21"/>
      <c r="D41" s="173">
        <v>30619</v>
      </c>
      <c r="E41" s="69" t="s">
        <v>903</v>
      </c>
      <c r="F41" s="69" t="s">
        <v>902</v>
      </c>
      <c r="G41" s="69"/>
      <c r="H41" s="29">
        <v>45740</v>
      </c>
      <c r="I41" s="73">
        <v>45661</v>
      </c>
      <c r="J41" s="73">
        <v>45800</v>
      </c>
      <c r="K41" s="172">
        <f>J41-I41</f>
        <v>139</v>
      </c>
      <c r="L41" s="192" t="s">
        <v>14</v>
      </c>
      <c r="M41" s="25" t="s">
        <v>6</v>
      </c>
      <c r="N41" s="25"/>
      <c r="O41" s="23" t="s">
        <v>69</v>
      </c>
      <c r="P41" s="23" t="s">
        <v>58</v>
      </c>
      <c r="Q41" s="170" t="s">
        <v>11</v>
      </c>
      <c r="R41" s="21"/>
      <c r="S41" s="23" t="s">
        <v>92</v>
      </c>
      <c r="T41" s="134" t="s">
        <v>92</v>
      </c>
      <c r="U41" s="170" t="s">
        <v>869</v>
      </c>
      <c r="V41" s="23" t="s">
        <v>163</v>
      </c>
      <c r="W41" s="23" t="s">
        <v>6</v>
      </c>
      <c r="X41" s="21" t="s">
        <v>5</v>
      </c>
      <c r="Y41" s="21" t="s">
        <v>126</v>
      </c>
      <c r="Z41" s="23" t="s">
        <v>3</v>
      </c>
      <c r="AA41" s="21">
        <v>5</v>
      </c>
      <c r="AB41" s="21">
        <v>5</v>
      </c>
      <c r="AC41" s="21">
        <v>3</v>
      </c>
      <c r="AD41" s="21">
        <v>5</v>
      </c>
      <c r="AE41" s="21">
        <v>1</v>
      </c>
      <c r="AF41" s="21">
        <v>3</v>
      </c>
      <c r="AG41" s="21">
        <v>3</v>
      </c>
      <c r="AH41" s="22">
        <f>(AA41*$AA$2)+(AB41*$AB$2)+(AC41*$AC$2)+(AD41*$AD$2)+(AE41*$AE$2)+(AF41*$AF$2)+(AG41*$AG$2)</f>
        <v>375</v>
      </c>
      <c r="AI41" s="21">
        <v>5</v>
      </c>
      <c r="AJ41" s="21">
        <v>5</v>
      </c>
      <c r="AK41" s="21">
        <v>4</v>
      </c>
      <c r="AL41" s="21">
        <v>5</v>
      </c>
      <c r="AM41" s="21">
        <v>5</v>
      </c>
      <c r="AN41" s="21">
        <v>5</v>
      </c>
      <c r="AO41" s="21">
        <v>3</v>
      </c>
      <c r="AP41" s="21">
        <f>(AI41*$AI$2)+(AJ41*$AJ$2)+(AK41*$AK$2)+(AL41*$AL$2)+(AM41*$AM$2)+(AN41*$AN$2)+(AO41*$AO$2)</f>
        <v>480</v>
      </c>
      <c r="AQ41" s="21">
        <f>AP41+AH41</f>
        <v>855</v>
      </c>
      <c r="AR41" s="132" t="s">
        <v>901</v>
      </c>
      <c r="AS41" s="80"/>
      <c r="AT41" s="21" t="s">
        <v>873</v>
      </c>
      <c r="AU41" s="173"/>
      <c r="AV41" s="17" t="s">
        <v>820</v>
      </c>
      <c r="AW41" s="21"/>
      <c r="AX41" s="21"/>
      <c r="AY41" s="21"/>
      <c r="AZ41" s="21"/>
      <c r="BA41" s="21"/>
      <c r="BB41" s="21"/>
      <c r="BC41" s="21"/>
      <c r="BD41" s="52">
        <f>SUM(AX41:BC41)</f>
        <v>0</v>
      </c>
      <c r="BE41" s="173"/>
      <c r="BF41" s="21"/>
      <c r="BG41" s="16" t="s">
        <v>58</v>
      </c>
      <c r="BH41" s="144"/>
      <c r="BI41" s="108"/>
      <c r="BJ41" s="108"/>
      <c r="BK41" s="108"/>
      <c r="BL41" s="108"/>
      <c r="BM41" s="108"/>
      <c r="BN41" s="108"/>
      <c r="BO41" s="108"/>
      <c r="BP41" s="108"/>
      <c r="BQ41" s="108"/>
      <c r="BR41" s="108"/>
      <c r="BS41" s="108"/>
      <c r="BT41" s="108"/>
      <c r="BU41" s="108"/>
      <c r="BV41" s="108"/>
      <c r="BW41" s="108"/>
      <c r="BX41" s="108"/>
      <c r="BY41" s="108"/>
      <c r="BZ41" s="108"/>
      <c r="CA41" s="108"/>
      <c r="CB41" s="108"/>
      <c r="CC41" s="108"/>
      <c r="CD41" s="108"/>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c r="DX41" s="108"/>
      <c r="DY41" s="108"/>
      <c r="DZ41" s="108"/>
      <c r="EA41" s="108"/>
      <c r="EB41" s="108"/>
      <c r="EC41" s="108"/>
      <c r="ED41" s="108"/>
      <c r="EE41" s="108"/>
      <c r="EF41" s="108"/>
      <c r="EG41" s="108"/>
      <c r="EH41" s="108"/>
      <c r="EI41" s="108"/>
      <c r="EJ41" s="108"/>
      <c r="EK41" s="108"/>
      <c r="EL41" s="108"/>
      <c r="EM41" s="108"/>
      <c r="EN41" s="108"/>
      <c r="EO41" s="108"/>
      <c r="EP41" s="108"/>
      <c r="EQ41" s="108"/>
      <c r="ER41" s="108"/>
      <c r="ES41" s="108"/>
      <c r="ET41" s="108"/>
      <c r="EU41" s="108"/>
      <c r="EV41" s="108"/>
      <c r="EW41" s="108"/>
      <c r="EX41" s="108"/>
      <c r="EY41" s="108"/>
      <c r="EZ41" s="108"/>
      <c r="FA41" s="108"/>
      <c r="FB41" s="108"/>
      <c r="FC41" s="108"/>
      <c r="FD41" s="108"/>
      <c r="FE41" s="108"/>
      <c r="FF41" s="108"/>
      <c r="FG41" s="108"/>
      <c r="FH41" s="108"/>
      <c r="FI41" s="108"/>
      <c r="FJ41" s="108"/>
      <c r="FK41" s="108"/>
      <c r="FL41" s="108"/>
      <c r="FM41" s="108"/>
      <c r="FN41" s="108"/>
      <c r="FO41" s="108"/>
      <c r="FP41" s="108"/>
      <c r="FQ41" s="108"/>
    </row>
    <row r="42" spans="1:173" s="109" customFormat="1" ht="75" customHeight="1">
      <c r="A42" s="21"/>
      <c r="B42" s="21">
        <v>1</v>
      </c>
      <c r="C42" s="21"/>
      <c r="D42" s="173">
        <v>30498</v>
      </c>
      <c r="E42" s="69" t="s">
        <v>900</v>
      </c>
      <c r="F42" s="69" t="s">
        <v>899</v>
      </c>
      <c r="G42" s="69"/>
      <c r="H42" s="29">
        <v>45658</v>
      </c>
      <c r="I42" s="73">
        <v>45664</v>
      </c>
      <c r="J42" s="73">
        <v>45800</v>
      </c>
      <c r="K42" s="172">
        <f>J42-I42</f>
        <v>136</v>
      </c>
      <c r="L42" s="47" t="s">
        <v>14</v>
      </c>
      <c r="M42" s="26" t="s">
        <v>60</v>
      </c>
      <c r="N42" s="26"/>
      <c r="O42" s="23" t="s">
        <v>69</v>
      </c>
      <c r="P42" s="23" t="s">
        <v>58</v>
      </c>
      <c r="Q42" s="170" t="s">
        <v>11</v>
      </c>
      <c r="R42" s="23"/>
      <c r="S42" s="23" t="s">
        <v>92</v>
      </c>
      <c r="T42" s="134" t="s">
        <v>824</v>
      </c>
      <c r="U42" s="170" t="s">
        <v>107</v>
      </c>
      <c r="V42" s="23" t="s">
        <v>163</v>
      </c>
      <c r="W42" s="26" t="s">
        <v>6</v>
      </c>
      <c r="X42" s="21" t="s">
        <v>5</v>
      </c>
      <c r="Y42" s="21" t="s">
        <v>126</v>
      </c>
      <c r="Z42" s="26" t="s">
        <v>3</v>
      </c>
      <c r="AA42" s="26">
        <v>5</v>
      </c>
      <c r="AB42" s="26">
        <v>5</v>
      </c>
      <c r="AC42" s="26">
        <v>2</v>
      </c>
      <c r="AD42" s="26">
        <v>5</v>
      </c>
      <c r="AE42" s="26">
        <v>3</v>
      </c>
      <c r="AF42" s="26">
        <v>3</v>
      </c>
      <c r="AG42" s="26">
        <v>3</v>
      </c>
      <c r="AH42" s="22">
        <f>(AA42*$AA$2)+(AB42*$AB$2)+(AC42*$AC$2)+(AD42*$AD$2)+(AE42*$AE$2)+(AF42*$AF$2)+(AG42*$AG$2)</f>
        <v>390</v>
      </c>
      <c r="AI42" s="26">
        <v>5</v>
      </c>
      <c r="AJ42" s="26">
        <v>5</v>
      </c>
      <c r="AK42" s="26">
        <v>3</v>
      </c>
      <c r="AL42" s="26">
        <v>5</v>
      </c>
      <c r="AM42" s="26">
        <v>3</v>
      </c>
      <c r="AN42" s="26">
        <v>5</v>
      </c>
      <c r="AO42" s="26">
        <v>3</v>
      </c>
      <c r="AP42" s="21">
        <f>(AI42*$AI$2)+(AJ42*$AJ$2)+(AK42*$AK$2)+(AL42*$AL$2)+(AM42*$AM$2)+(AN42*$AN$2)+(AO42*$AO$2)</f>
        <v>435</v>
      </c>
      <c r="AQ42" s="21">
        <f>AP42+AH42</f>
        <v>825</v>
      </c>
      <c r="AR42" s="132" t="s">
        <v>898</v>
      </c>
      <c r="AS42" s="88"/>
      <c r="AT42" s="21" t="s">
        <v>873</v>
      </c>
      <c r="AU42" s="169"/>
      <c r="AV42" s="17" t="s">
        <v>820</v>
      </c>
      <c r="AW42" s="17"/>
      <c r="AX42" s="17"/>
      <c r="AY42" s="17"/>
      <c r="AZ42" s="17"/>
      <c r="BA42" s="17"/>
      <c r="BB42" s="17"/>
      <c r="BC42" s="17"/>
      <c r="BD42" s="52">
        <f>SUM(AX42:BC42)</f>
        <v>0</v>
      </c>
      <c r="BE42" s="169"/>
      <c r="BF42" s="17"/>
      <c r="BG42" s="16" t="s">
        <v>58</v>
      </c>
      <c r="BH42" s="48"/>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row>
    <row r="43" spans="1:173" s="108" customFormat="1" ht="65">
      <c r="A43" s="21"/>
      <c r="B43" s="21">
        <v>1</v>
      </c>
      <c r="C43" s="67" t="s">
        <v>897</v>
      </c>
      <c r="D43" s="23">
        <v>30572</v>
      </c>
      <c r="E43" s="69" t="s">
        <v>896</v>
      </c>
      <c r="F43" s="69" t="s">
        <v>895</v>
      </c>
      <c r="G43" s="69" t="s">
        <v>894</v>
      </c>
      <c r="H43" s="29">
        <v>45833</v>
      </c>
      <c r="I43" s="73">
        <v>45701</v>
      </c>
      <c r="J43" s="73">
        <v>45833</v>
      </c>
      <c r="K43" s="54">
        <f>J43-I43</f>
        <v>132</v>
      </c>
      <c r="L43" s="72" t="s">
        <v>14</v>
      </c>
      <c r="M43" s="26" t="s">
        <v>60</v>
      </c>
      <c r="N43" s="26" t="s">
        <v>59</v>
      </c>
      <c r="O43" s="22" t="s">
        <v>69</v>
      </c>
      <c r="P43" s="23" t="s">
        <v>58</v>
      </c>
      <c r="Q43" s="21" t="s">
        <v>510</v>
      </c>
      <c r="R43" s="21" t="s">
        <v>8</v>
      </c>
      <c r="S43" s="23" t="s">
        <v>386</v>
      </c>
      <c r="T43" s="22" t="s">
        <v>620</v>
      </c>
      <c r="U43" s="22" t="s">
        <v>287</v>
      </c>
      <c r="V43" s="22" t="s">
        <v>99</v>
      </c>
      <c r="W43" s="22" t="s">
        <v>286</v>
      </c>
      <c r="X43" s="21" t="s">
        <v>5</v>
      </c>
      <c r="Y43" s="21" t="s">
        <v>4</v>
      </c>
      <c r="Z43" s="22" t="s">
        <v>147</v>
      </c>
      <c r="AA43" s="21">
        <v>4</v>
      </c>
      <c r="AB43" s="21">
        <v>5</v>
      </c>
      <c r="AC43" s="21">
        <v>3</v>
      </c>
      <c r="AD43" s="21">
        <v>5</v>
      </c>
      <c r="AE43" s="21">
        <v>5</v>
      </c>
      <c r="AF43" s="21">
        <v>3</v>
      </c>
      <c r="AG43" s="21">
        <v>5</v>
      </c>
      <c r="AH43" s="22">
        <f>(AA43*$AA$2)+(AB43*$AB$2)+(AC43*$AC$2)+(AD43*$AD$2)+(AE43*$AE$2)+(AF43*$AF$2)+(AG43*$AG$2)</f>
        <v>450</v>
      </c>
      <c r="AI43" s="21">
        <v>5</v>
      </c>
      <c r="AJ43" s="21">
        <v>5</v>
      </c>
      <c r="AK43" s="21">
        <v>2</v>
      </c>
      <c r="AL43" s="21">
        <v>5</v>
      </c>
      <c r="AM43" s="21">
        <v>5</v>
      </c>
      <c r="AN43" s="21">
        <v>1</v>
      </c>
      <c r="AO43" s="21">
        <v>5</v>
      </c>
      <c r="AP43" s="21">
        <f>(AI43*$AI$2)+(AJ43*$AJ$2)+(AK43*$AK$2)+(AL43*$AL$2)+(AM43*$AM$2)+(AN43*$AN$2)+(AO43*$AO$2)</f>
        <v>420</v>
      </c>
      <c r="AQ43" s="21">
        <f>AP43+AH43</f>
        <v>870</v>
      </c>
      <c r="AR43" s="88" t="s">
        <v>893</v>
      </c>
      <c r="AS43" s="88"/>
      <c r="AT43" s="146" t="s">
        <v>333</v>
      </c>
      <c r="AU43" s="21"/>
      <c r="AV43" s="23"/>
      <c r="AW43" s="21"/>
      <c r="AX43" s="21"/>
      <c r="AY43" s="21">
        <v>0</v>
      </c>
      <c r="AZ43" s="21">
        <v>0</v>
      </c>
      <c r="BA43" s="21">
        <v>0</v>
      </c>
      <c r="BB43" s="21">
        <v>0</v>
      </c>
      <c r="BC43" s="21"/>
      <c r="BD43" s="52">
        <f>SUM(AX43:BC43)</f>
        <v>0</v>
      </c>
      <c r="BE43" s="131"/>
      <c r="BF43" s="21"/>
      <c r="BG43" s="16" t="s">
        <v>58</v>
      </c>
      <c r="BH43" s="51" t="s">
        <v>892</v>
      </c>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row>
    <row r="44" spans="1:173" s="50" customFormat="1" ht="26">
      <c r="A44" s="21"/>
      <c r="B44" s="21">
        <v>14</v>
      </c>
      <c r="C44" s="21"/>
      <c r="D44" s="21"/>
      <c r="E44" s="69" t="s">
        <v>891</v>
      </c>
      <c r="F44" s="69" t="s">
        <v>890</v>
      </c>
      <c r="G44" s="69" t="s">
        <v>889</v>
      </c>
      <c r="H44" s="29">
        <v>45839</v>
      </c>
      <c r="I44" s="73">
        <v>45860</v>
      </c>
      <c r="J44" s="73">
        <v>45989</v>
      </c>
      <c r="K44" s="54">
        <f>J44-I44</f>
        <v>129</v>
      </c>
      <c r="L44" s="47" t="s">
        <v>14</v>
      </c>
      <c r="M44" s="26" t="s">
        <v>196</v>
      </c>
      <c r="N44" s="25"/>
      <c r="O44" s="23" t="s">
        <v>32</v>
      </c>
      <c r="P44" s="23" t="s">
        <v>58</v>
      </c>
      <c r="Q44" s="23" t="s">
        <v>57</v>
      </c>
      <c r="R44" s="23" t="s">
        <v>259</v>
      </c>
      <c r="S44" s="23" t="s">
        <v>888</v>
      </c>
      <c r="T44" s="23" t="s">
        <v>887</v>
      </c>
      <c r="U44" s="23"/>
      <c r="V44" s="23" t="s">
        <v>56</v>
      </c>
      <c r="W44" s="23" t="s">
        <v>6</v>
      </c>
      <c r="X44" s="21" t="s">
        <v>5</v>
      </c>
      <c r="Y44" s="23" t="s">
        <v>126</v>
      </c>
      <c r="Z44" s="23" t="s">
        <v>3</v>
      </c>
      <c r="AA44" s="22">
        <v>3</v>
      </c>
      <c r="AB44" s="22">
        <v>5</v>
      </c>
      <c r="AC44" s="22">
        <v>1</v>
      </c>
      <c r="AD44" s="22">
        <v>5</v>
      </c>
      <c r="AE44" s="22">
        <v>0</v>
      </c>
      <c r="AF44" s="22">
        <v>1</v>
      </c>
      <c r="AG44" s="22">
        <v>3</v>
      </c>
      <c r="AH44" s="22">
        <f>(AA44*$AA$2)+(AB44*$AB$2)+(AC44*$AC$2)+(AD44*$AD$2)+(AE44*$AE$2)+(AF44*$AF$2)+(AG44*$AG$2)</f>
        <v>270</v>
      </c>
      <c r="AI44" s="22">
        <v>5</v>
      </c>
      <c r="AJ44" s="22">
        <v>5</v>
      </c>
      <c r="AK44" s="22">
        <v>3</v>
      </c>
      <c r="AL44" s="22">
        <v>3</v>
      </c>
      <c r="AM44" s="22">
        <v>5</v>
      </c>
      <c r="AN44" s="22">
        <v>5</v>
      </c>
      <c r="AO44" s="22">
        <v>5</v>
      </c>
      <c r="AP44" s="21">
        <f>(AI44*$AI$2)+(AJ44*$AJ$2)+(AK44*$AK$2)+(AL44*$AL$2)+(AM44*$AM$2)+(AN44*$AN$2)+(AO44*$AO$2)</f>
        <v>465</v>
      </c>
      <c r="AQ44" s="23">
        <f>AP44+AH44</f>
        <v>735</v>
      </c>
      <c r="AR44" s="20" t="s">
        <v>886</v>
      </c>
      <c r="AS44" s="20"/>
      <c r="AT44" s="18" t="s">
        <v>693</v>
      </c>
      <c r="AU44" s="17"/>
      <c r="AV44" s="17" t="s">
        <v>258</v>
      </c>
      <c r="AW44" s="17"/>
      <c r="AX44" s="17"/>
      <c r="AY44" s="17"/>
      <c r="AZ44" s="17"/>
      <c r="BA44" s="17"/>
      <c r="BB44" s="17"/>
      <c r="BC44" s="17"/>
      <c r="BD44" s="52">
        <f>SUM(AX44:BC44)</f>
        <v>0</v>
      </c>
      <c r="BE44" s="17"/>
      <c r="BF44" s="17"/>
      <c r="BG44" s="16" t="s">
        <v>192</v>
      </c>
      <c r="BH44" s="48"/>
      <c r="BI44" s="1"/>
      <c r="BJ44" s="1"/>
    </row>
    <row r="45" spans="1:173" s="50" customFormat="1" ht="62.5" customHeight="1">
      <c r="A45" s="21" t="s">
        <v>885</v>
      </c>
      <c r="B45" s="21">
        <v>4</v>
      </c>
      <c r="C45" s="21"/>
      <c r="D45" s="21">
        <v>30571</v>
      </c>
      <c r="E45" s="69" t="s">
        <v>884</v>
      </c>
      <c r="F45" s="69" t="s">
        <v>883</v>
      </c>
      <c r="G45" s="69" t="s">
        <v>882</v>
      </c>
      <c r="H45" s="29" t="s">
        <v>502</v>
      </c>
      <c r="I45" s="73">
        <v>45519</v>
      </c>
      <c r="J45" s="99">
        <v>45992</v>
      </c>
      <c r="K45" s="17">
        <f>$K$2-I45</f>
        <v>411</v>
      </c>
      <c r="L45" s="72" t="s">
        <v>496</v>
      </c>
      <c r="M45" s="26" t="s">
        <v>60</v>
      </c>
      <c r="N45" s="26" t="s">
        <v>59</v>
      </c>
      <c r="O45" s="23" t="s">
        <v>69</v>
      </c>
      <c r="P45" s="23" t="s">
        <v>33</v>
      </c>
      <c r="Q45" s="23" t="s">
        <v>525</v>
      </c>
      <c r="R45" s="23" t="s">
        <v>8</v>
      </c>
      <c r="S45" s="23" t="s">
        <v>386</v>
      </c>
      <c r="T45" s="23" t="s">
        <v>881</v>
      </c>
      <c r="U45" s="23" t="s">
        <v>880</v>
      </c>
      <c r="V45" s="23" t="s">
        <v>99</v>
      </c>
      <c r="W45" s="22" t="s">
        <v>202</v>
      </c>
      <c r="X45" s="21" t="s">
        <v>5</v>
      </c>
      <c r="Y45" s="21" t="s">
        <v>4</v>
      </c>
      <c r="Z45" s="22" t="s">
        <v>147</v>
      </c>
      <c r="AA45" s="21">
        <v>4</v>
      </c>
      <c r="AB45" s="21">
        <v>5</v>
      </c>
      <c r="AC45" s="21">
        <v>3</v>
      </c>
      <c r="AD45" s="21">
        <v>5</v>
      </c>
      <c r="AE45" s="21">
        <v>5</v>
      </c>
      <c r="AF45" s="21">
        <v>3</v>
      </c>
      <c r="AG45" s="21">
        <v>5</v>
      </c>
      <c r="AH45" s="22">
        <f>(AA45*$AA$2)+(AB45*$AB$2)+(AC45*$AC$2)+(AD45*$AD$2)+(AE45*$AE$2)+(AF45*$AF$2)+(AG45*$AG$2)</f>
        <v>450</v>
      </c>
      <c r="AI45" s="21">
        <v>5</v>
      </c>
      <c r="AJ45" s="21">
        <v>5</v>
      </c>
      <c r="AK45" s="21">
        <v>2</v>
      </c>
      <c r="AL45" s="21">
        <v>5</v>
      </c>
      <c r="AM45" s="21">
        <v>3</v>
      </c>
      <c r="AN45" s="21">
        <v>3</v>
      </c>
      <c r="AO45" s="21">
        <v>3</v>
      </c>
      <c r="AP45" s="21">
        <f>(AI45*$AI$2)+(AJ45*$AJ$2)+(AK45*$AK$2)+(AL45*$AL$2)+(AM45*$AM$2)+(AN45*$AN$2)+(AO45*$AO$2)</f>
        <v>390</v>
      </c>
      <c r="AQ45" s="21">
        <f>AP45+AH45</f>
        <v>840</v>
      </c>
      <c r="AR45" s="88" t="s">
        <v>879</v>
      </c>
      <c r="AS45" s="88" t="s">
        <v>878</v>
      </c>
      <c r="AT45" s="146">
        <v>80000</v>
      </c>
      <c r="AU45" s="17"/>
      <c r="AV45" s="179" t="s">
        <v>262</v>
      </c>
      <c r="AW45" s="17"/>
      <c r="AX45" s="17"/>
      <c r="AY45" s="17"/>
      <c r="AZ45" s="17"/>
      <c r="BA45" s="17"/>
      <c r="BB45" s="17"/>
      <c r="BC45" s="17"/>
      <c r="BD45" s="52">
        <f>SUM(AX45:BC45)</f>
        <v>0</v>
      </c>
      <c r="BE45" s="131"/>
      <c r="BF45" s="17"/>
      <c r="BG45" s="16" t="s">
        <v>192</v>
      </c>
      <c r="BH45" s="51"/>
    </row>
    <row r="46" spans="1:173" ht="103.25" customHeight="1">
      <c r="A46" s="21"/>
      <c r="B46" s="21">
        <v>1</v>
      </c>
      <c r="C46" s="191"/>
      <c r="D46" s="67"/>
      <c r="E46" s="69" t="s">
        <v>877</v>
      </c>
      <c r="F46" s="69" t="s">
        <v>876</v>
      </c>
      <c r="G46" s="69"/>
      <c r="H46" s="29">
        <v>45566</v>
      </c>
      <c r="I46" s="73">
        <v>45660</v>
      </c>
      <c r="J46" s="73">
        <v>45777</v>
      </c>
      <c r="K46" s="54">
        <f>J46-I46</f>
        <v>117</v>
      </c>
      <c r="L46" s="47" t="s">
        <v>14</v>
      </c>
      <c r="M46" s="26" t="s">
        <v>60</v>
      </c>
      <c r="N46" s="26"/>
      <c r="O46" s="23" t="s">
        <v>32</v>
      </c>
      <c r="P46" s="23" t="s">
        <v>58</v>
      </c>
      <c r="Q46" s="23" t="s">
        <v>57</v>
      </c>
      <c r="R46" s="23" t="s">
        <v>170</v>
      </c>
      <c r="S46" s="23" t="s">
        <v>10</v>
      </c>
      <c r="T46" s="23" t="s">
        <v>266</v>
      </c>
      <c r="U46" s="23" t="s">
        <v>508</v>
      </c>
      <c r="V46" s="23" t="s">
        <v>66</v>
      </c>
      <c r="W46" s="22" t="s">
        <v>138</v>
      </c>
      <c r="X46" s="21" t="s">
        <v>5</v>
      </c>
      <c r="Y46" s="21" t="s">
        <v>49</v>
      </c>
      <c r="Z46" s="22" t="s">
        <v>3</v>
      </c>
      <c r="AA46" s="22">
        <v>5</v>
      </c>
      <c r="AB46" s="22">
        <v>5</v>
      </c>
      <c r="AC46" s="22">
        <v>1</v>
      </c>
      <c r="AD46" s="22">
        <v>5</v>
      </c>
      <c r="AE46" s="22">
        <v>5</v>
      </c>
      <c r="AF46" s="22">
        <v>1</v>
      </c>
      <c r="AG46" s="22">
        <v>5</v>
      </c>
      <c r="AH46" s="22">
        <f>(AA46*$AA$2)+(AB46*$AB$2)+(AC46*$AC$2)+(AD46*$AD$2)+(AE46*$AE$2)+(AF46*$AF$2)+(AG46*$AG$2)</f>
        <v>405</v>
      </c>
      <c r="AI46" s="22">
        <v>4</v>
      </c>
      <c r="AJ46" s="22">
        <v>5</v>
      </c>
      <c r="AK46" s="22">
        <v>3</v>
      </c>
      <c r="AL46" s="22">
        <v>5</v>
      </c>
      <c r="AM46" s="22">
        <v>3</v>
      </c>
      <c r="AN46" s="22">
        <v>5</v>
      </c>
      <c r="AO46" s="22">
        <v>5</v>
      </c>
      <c r="AP46" s="21">
        <f>(AI46*$AI$2)+(AJ46*$AJ$2)+(AK46*$AK$2)+(AL46*$AL$2)+(AM46*$AM$2)+(AN46*$AN$2)+(AO46*$AO$2)</f>
        <v>450</v>
      </c>
      <c r="AQ46" s="21">
        <f>AP46+AH46</f>
        <v>855</v>
      </c>
      <c r="AR46" s="20" t="s">
        <v>875</v>
      </c>
      <c r="AS46" s="20" t="s">
        <v>874</v>
      </c>
      <c r="AT46" s="23" t="s">
        <v>873</v>
      </c>
      <c r="AU46" s="17"/>
      <c r="AV46" s="23" t="s">
        <v>820</v>
      </c>
      <c r="AW46" s="23"/>
      <c r="AX46" s="23"/>
      <c r="AY46" s="23"/>
      <c r="AZ46" s="23"/>
      <c r="BA46" s="23"/>
      <c r="BB46" s="23"/>
      <c r="BC46" s="23"/>
      <c r="BD46" s="52">
        <f>SUM(AX46:BC46)</f>
        <v>0</v>
      </c>
      <c r="BE46" s="17"/>
      <c r="BF46" s="17"/>
      <c r="BG46" s="16" t="s">
        <v>58</v>
      </c>
      <c r="BH46" s="101"/>
    </row>
    <row r="47" spans="1:173" ht="37.5" customHeight="1">
      <c r="A47" s="21"/>
      <c r="B47" s="21">
        <v>1</v>
      </c>
      <c r="C47" s="21"/>
      <c r="D47" s="173">
        <v>30618</v>
      </c>
      <c r="E47" s="69" t="s">
        <v>872</v>
      </c>
      <c r="F47" s="69" t="s">
        <v>871</v>
      </c>
      <c r="G47" s="69" t="s">
        <v>870</v>
      </c>
      <c r="H47" s="29" t="s">
        <v>502</v>
      </c>
      <c r="I47" s="73">
        <v>45691</v>
      </c>
      <c r="J47" s="73">
        <v>45786</v>
      </c>
      <c r="K47" s="172">
        <f>J47-I47</f>
        <v>95</v>
      </c>
      <c r="L47" s="47" t="s">
        <v>14</v>
      </c>
      <c r="M47" s="67" t="s">
        <v>196</v>
      </c>
      <c r="N47" s="25" t="s">
        <v>59</v>
      </c>
      <c r="O47" s="23" t="s">
        <v>69</v>
      </c>
      <c r="P47" s="23" t="s">
        <v>58</v>
      </c>
      <c r="Q47" s="171" t="s">
        <v>57</v>
      </c>
      <c r="R47" s="23" t="s">
        <v>8</v>
      </c>
      <c r="S47" s="23" t="s">
        <v>210</v>
      </c>
      <c r="T47" s="134" t="s">
        <v>210</v>
      </c>
      <c r="U47" s="170" t="s">
        <v>869</v>
      </c>
      <c r="V47" s="23" t="s">
        <v>184</v>
      </c>
      <c r="W47" s="22" t="s">
        <v>27</v>
      </c>
      <c r="X47" s="21" t="s">
        <v>5</v>
      </c>
      <c r="Y47" s="21" t="s">
        <v>4</v>
      </c>
      <c r="Z47" s="22" t="s">
        <v>3</v>
      </c>
      <c r="AA47" s="21">
        <v>3</v>
      </c>
      <c r="AB47" s="21">
        <v>5</v>
      </c>
      <c r="AC47" s="21">
        <v>3</v>
      </c>
      <c r="AD47" s="21">
        <v>5</v>
      </c>
      <c r="AE47" s="21">
        <v>1</v>
      </c>
      <c r="AF47" s="21">
        <v>3</v>
      </c>
      <c r="AG47" s="21">
        <v>3</v>
      </c>
      <c r="AH47" s="22">
        <f>(AA47*$AA$2)+(AB47*$AB$2)+(AC47*$AC$2)+(AD47*$AD$2)+(AE47*$AE$2)+(AF47*$AF$2)+(AG47*$AG$2)</f>
        <v>345</v>
      </c>
      <c r="AI47" s="21">
        <v>5</v>
      </c>
      <c r="AJ47" s="21">
        <v>5</v>
      </c>
      <c r="AK47" s="21">
        <v>3</v>
      </c>
      <c r="AL47" s="21">
        <v>3</v>
      </c>
      <c r="AM47" s="21">
        <v>5</v>
      </c>
      <c r="AN47" s="21">
        <v>3</v>
      </c>
      <c r="AO47" s="21">
        <v>5</v>
      </c>
      <c r="AP47" s="21">
        <f>(AI47*$AI$2)+(AJ47*$AJ$2)+(AK47*$AK$2)+(AL47*$AL$2)+(AM47*$AM$2)+(AN47*$AN$2)+(AO47*$AO$2)</f>
        <v>435</v>
      </c>
      <c r="AQ47" s="21">
        <f>AP47+AH47</f>
        <v>780</v>
      </c>
      <c r="AR47" s="132" t="s">
        <v>868</v>
      </c>
      <c r="AS47" s="88" t="s">
        <v>867</v>
      </c>
      <c r="AT47" s="21" t="s">
        <v>866</v>
      </c>
      <c r="AU47" s="173"/>
      <c r="AV47" s="23" t="s">
        <v>374</v>
      </c>
      <c r="AW47" s="21"/>
      <c r="AX47" s="21"/>
      <c r="AY47" s="21"/>
      <c r="AZ47" s="21"/>
      <c r="BA47" s="21"/>
      <c r="BB47" s="21"/>
      <c r="BC47" s="21"/>
      <c r="BD47" s="52">
        <f>SUM(AX47:BC47)</f>
        <v>0</v>
      </c>
      <c r="BE47" s="173"/>
      <c r="BF47" s="16"/>
      <c r="BG47" s="16" t="s">
        <v>58</v>
      </c>
      <c r="BH47" s="51"/>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row>
    <row r="48" spans="1:173" ht="39">
      <c r="A48" s="21"/>
      <c r="B48" s="21">
        <v>1</v>
      </c>
      <c r="C48" s="21" t="s">
        <v>865</v>
      </c>
      <c r="D48" s="173"/>
      <c r="E48" s="69" t="s">
        <v>864</v>
      </c>
      <c r="F48" s="69" t="s">
        <v>863</v>
      </c>
      <c r="G48" s="69"/>
      <c r="H48" s="29">
        <v>45658</v>
      </c>
      <c r="I48" s="73">
        <v>45746</v>
      </c>
      <c r="J48" s="73">
        <v>45809</v>
      </c>
      <c r="K48" s="184">
        <f>J48-I48</f>
        <v>63</v>
      </c>
      <c r="L48" s="47" t="s">
        <v>14</v>
      </c>
      <c r="M48" s="67" t="s">
        <v>196</v>
      </c>
      <c r="N48" s="67"/>
      <c r="O48" s="23" t="s">
        <v>50</v>
      </c>
      <c r="P48" s="23" t="s">
        <v>58</v>
      </c>
      <c r="Q48" s="170" t="s">
        <v>11</v>
      </c>
      <c r="R48" s="23" t="s">
        <v>163</v>
      </c>
      <c r="S48" s="23" t="s">
        <v>37</v>
      </c>
      <c r="T48" s="23" t="s">
        <v>163</v>
      </c>
      <c r="U48" s="170" t="s">
        <v>482</v>
      </c>
      <c r="V48" s="23" t="s">
        <v>66</v>
      </c>
      <c r="W48" s="23" t="s">
        <v>6</v>
      </c>
      <c r="X48" s="21" t="s">
        <v>5</v>
      </c>
      <c r="Y48" s="23" t="s">
        <v>126</v>
      </c>
      <c r="Z48" s="23" t="s">
        <v>3</v>
      </c>
      <c r="AA48" s="23">
        <v>5</v>
      </c>
      <c r="AB48" s="23">
        <v>5</v>
      </c>
      <c r="AC48" s="23">
        <v>3</v>
      </c>
      <c r="AD48" s="23">
        <v>5</v>
      </c>
      <c r="AE48" s="23">
        <v>3</v>
      </c>
      <c r="AF48" s="23">
        <v>1</v>
      </c>
      <c r="AG48" s="23">
        <v>3</v>
      </c>
      <c r="AH48" s="22">
        <f>(AA48*$AA$2)+(AB48*$AB$2)+(AC48*$AC$2)+(AD48*$AD$2)+(AE48*$AE$2)+(AF48*$AF$2)+(AG48*$AG$2)</f>
        <v>375</v>
      </c>
      <c r="AI48" s="23">
        <v>5</v>
      </c>
      <c r="AJ48" s="23">
        <v>5</v>
      </c>
      <c r="AK48" s="23">
        <v>2</v>
      </c>
      <c r="AL48" s="23">
        <v>3</v>
      </c>
      <c r="AM48" s="23">
        <v>3</v>
      </c>
      <c r="AN48" s="23">
        <v>3</v>
      </c>
      <c r="AO48" s="23">
        <v>3</v>
      </c>
      <c r="AP48" s="21">
        <f>(AI48*$AI$2)+(AJ48*$AJ$2)+(AK48*$AK$2)+(AL48*$AL$2)+(AM48*$AM$2)+(AN48*$AN$2)+(AO48*$AO$2)</f>
        <v>360</v>
      </c>
      <c r="AQ48" s="23">
        <f>AP48+AH48</f>
        <v>735</v>
      </c>
      <c r="AR48" s="20" t="s">
        <v>682</v>
      </c>
      <c r="AS48" s="20" t="s">
        <v>858</v>
      </c>
      <c r="AT48" s="18" t="s">
        <v>166</v>
      </c>
      <c r="AU48" s="169"/>
      <c r="AV48" s="143" t="s">
        <v>54</v>
      </c>
      <c r="AW48" s="17"/>
      <c r="AX48" s="17"/>
      <c r="AY48" s="17"/>
      <c r="AZ48" s="17">
        <v>0</v>
      </c>
      <c r="BA48" s="17">
        <v>0</v>
      </c>
      <c r="BB48" s="17">
        <v>0</v>
      </c>
      <c r="BC48" s="17"/>
      <c r="BD48" s="52">
        <f>SUM(AX48:BC48)</f>
        <v>0</v>
      </c>
      <c r="BE48" s="169"/>
      <c r="BF48" s="17"/>
      <c r="BG48" s="16" t="s">
        <v>58</v>
      </c>
      <c r="BH48" s="4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c r="DX48" s="108"/>
      <c r="DY48" s="108"/>
      <c r="DZ48" s="108"/>
      <c r="EA48" s="108"/>
      <c r="EB48" s="108"/>
      <c r="EC48" s="108"/>
      <c r="ED48" s="108"/>
      <c r="EE48" s="108"/>
      <c r="EF48" s="108"/>
      <c r="EG48" s="108"/>
      <c r="EH48" s="108"/>
      <c r="EI48" s="108"/>
      <c r="EJ48" s="108"/>
      <c r="EK48" s="108"/>
      <c r="EL48" s="108"/>
      <c r="EM48" s="108"/>
      <c r="EN48" s="108"/>
      <c r="EO48" s="108"/>
      <c r="EP48" s="108"/>
      <c r="EQ48" s="108"/>
      <c r="ER48" s="108"/>
      <c r="ES48" s="108"/>
      <c r="ET48" s="108"/>
      <c r="EU48" s="108"/>
      <c r="EV48" s="108"/>
      <c r="EW48" s="108"/>
      <c r="EX48" s="108"/>
      <c r="EY48" s="108"/>
      <c r="EZ48" s="108"/>
      <c r="FA48" s="108"/>
      <c r="FB48" s="108"/>
      <c r="FC48" s="108"/>
      <c r="FD48" s="108"/>
      <c r="FE48" s="108"/>
      <c r="FF48" s="108"/>
      <c r="FG48" s="108"/>
      <c r="FH48" s="108"/>
      <c r="FI48" s="108"/>
      <c r="FJ48" s="108"/>
      <c r="FK48" s="108"/>
      <c r="FL48" s="108"/>
      <c r="FM48" s="108"/>
      <c r="FN48" s="108"/>
      <c r="FO48" s="108"/>
      <c r="FP48" s="108"/>
      <c r="FQ48" s="108"/>
    </row>
    <row r="49" spans="1:173" s="50" customFormat="1" ht="62.5" customHeight="1">
      <c r="A49" s="21"/>
      <c r="B49" s="21">
        <v>1</v>
      </c>
      <c r="C49" s="21" t="s">
        <v>862</v>
      </c>
      <c r="D49" s="173"/>
      <c r="E49" s="69" t="s">
        <v>861</v>
      </c>
      <c r="F49" s="69" t="s">
        <v>860</v>
      </c>
      <c r="G49" s="69"/>
      <c r="H49" s="29">
        <v>45658</v>
      </c>
      <c r="I49" s="73">
        <v>45746</v>
      </c>
      <c r="J49" s="73">
        <v>45809</v>
      </c>
      <c r="K49" s="184">
        <f>J49-I49</f>
        <v>63</v>
      </c>
      <c r="L49" s="47" t="s">
        <v>14</v>
      </c>
      <c r="M49" s="67" t="s">
        <v>196</v>
      </c>
      <c r="N49" s="67"/>
      <c r="O49" s="23" t="s">
        <v>50</v>
      </c>
      <c r="P49" s="23" t="s">
        <v>58</v>
      </c>
      <c r="Q49" s="170" t="s">
        <v>11</v>
      </c>
      <c r="R49" s="23" t="s">
        <v>163</v>
      </c>
      <c r="S49" s="23" t="s">
        <v>37</v>
      </c>
      <c r="T49" s="23" t="s">
        <v>163</v>
      </c>
      <c r="U49" s="170" t="s">
        <v>482</v>
      </c>
      <c r="V49" s="23" t="s">
        <v>66</v>
      </c>
      <c r="W49" s="23" t="s">
        <v>6</v>
      </c>
      <c r="X49" s="21" t="s">
        <v>5</v>
      </c>
      <c r="Y49" s="23" t="s">
        <v>126</v>
      </c>
      <c r="Z49" s="23" t="s">
        <v>3</v>
      </c>
      <c r="AA49" s="23">
        <v>5</v>
      </c>
      <c r="AB49" s="23">
        <v>5</v>
      </c>
      <c r="AC49" s="23">
        <v>3</v>
      </c>
      <c r="AD49" s="23">
        <v>5</v>
      </c>
      <c r="AE49" s="23">
        <v>3</v>
      </c>
      <c r="AF49" s="23">
        <v>1</v>
      </c>
      <c r="AG49" s="23">
        <v>3</v>
      </c>
      <c r="AH49" s="22">
        <f>(AA49*$AA$2)+(AB49*$AB$2)+(AC49*$AC$2)+(AD49*$AD$2)+(AE49*$AE$2)+(AF49*$AF$2)+(AG49*$AG$2)</f>
        <v>375</v>
      </c>
      <c r="AI49" s="23">
        <v>5</v>
      </c>
      <c r="AJ49" s="23">
        <v>5</v>
      </c>
      <c r="AK49" s="23">
        <v>2</v>
      </c>
      <c r="AL49" s="23">
        <v>3</v>
      </c>
      <c r="AM49" s="23">
        <v>3</v>
      </c>
      <c r="AN49" s="23">
        <v>3</v>
      </c>
      <c r="AO49" s="23">
        <v>3</v>
      </c>
      <c r="AP49" s="21">
        <f>(AI49*$AI$2)+(AJ49*$AJ$2)+(AK49*$AK$2)+(AL49*$AL$2)+(AM49*$AM$2)+(AN49*$AN$2)+(AO49*$AO$2)</f>
        <v>360</v>
      </c>
      <c r="AQ49" s="23">
        <f>AP49+AH49</f>
        <v>735</v>
      </c>
      <c r="AR49" s="20" t="s">
        <v>859</v>
      </c>
      <c r="AS49" s="20" t="s">
        <v>858</v>
      </c>
      <c r="AT49" s="18" t="s">
        <v>166</v>
      </c>
      <c r="AU49" s="169"/>
      <c r="AV49" s="143" t="s">
        <v>54</v>
      </c>
      <c r="AW49" s="17"/>
      <c r="AX49" s="17"/>
      <c r="AY49" s="17"/>
      <c r="AZ49" s="17">
        <v>0</v>
      </c>
      <c r="BA49" s="17">
        <v>0</v>
      </c>
      <c r="BB49" s="17">
        <v>0</v>
      </c>
      <c r="BC49" s="17"/>
      <c r="BD49" s="52">
        <f>SUM(AX49:BC49)</f>
        <v>0</v>
      </c>
      <c r="BE49" s="169"/>
      <c r="BF49" s="17"/>
      <c r="BG49" s="16" t="s">
        <v>58</v>
      </c>
      <c r="BH49" s="48"/>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row>
    <row r="50" spans="1:173" ht="52">
      <c r="A50" s="21"/>
      <c r="B50" s="21">
        <v>94</v>
      </c>
      <c r="C50" s="21"/>
      <c r="D50" s="173"/>
      <c r="E50" s="69" t="s">
        <v>857</v>
      </c>
      <c r="F50" s="69" t="s">
        <v>856</v>
      </c>
      <c r="G50" s="69"/>
      <c r="H50" s="29">
        <v>45748</v>
      </c>
      <c r="I50" s="73">
        <v>45748</v>
      </c>
      <c r="J50" s="73">
        <v>45839</v>
      </c>
      <c r="K50" s="184">
        <f>J50-I50</f>
        <v>91</v>
      </c>
      <c r="L50" s="61" t="s">
        <v>14</v>
      </c>
      <c r="M50" s="26" t="s">
        <v>60</v>
      </c>
      <c r="N50" s="25"/>
      <c r="O50" s="23" t="s">
        <v>13</v>
      </c>
      <c r="P50" s="23" t="s">
        <v>58</v>
      </c>
      <c r="Q50" s="173"/>
      <c r="R50" s="102" t="s">
        <v>163</v>
      </c>
      <c r="S50" s="23" t="s">
        <v>37</v>
      </c>
      <c r="T50" s="23" t="s">
        <v>37</v>
      </c>
      <c r="U50" s="190"/>
      <c r="V50" s="23" t="s">
        <v>66</v>
      </c>
      <c r="W50" s="143" t="s">
        <v>27</v>
      </c>
      <c r="X50" s="21" t="s">
        <v>5</v>
      </c>
      <c r="Y50" s="23" t="s">
        <v>126</v>
      </c>
      <c r="Z50" s="22" t="s">
        <v>18</v>
      </c>
      <c r="AA50" s="23">
        <v>3</v>
      </c>
      <c r="AB50" s="23">
        <v>5</v>
      </c>
      <c r="AC50" s="23">
        <v>1</v>
      </c>
      <c r="AD50" s="23">
        <v>5</v>
      </c>
      <c r="AE50" s="23">
        <v>0</v>
      </c>
      <c r="AF50" s="23">
        <v>1</v>
      </c>
      <c r="AG50" s="23">
        <v>3</v>
      </c>
      <c r="AH50" s="22">
        <f>(AA50*$AA$2)+(AB50*$AB$2)+(AC50*$AC$2)+(AD50*$AD$2)+(AE50*$AE$2)+(AF50*$AF$2)+(AG50*$AG$2)</f>
        <v>270</v>
      </c>
      <c r="AI50" s="21">
        <v>5</v>
      </c>
      <c r="AJ50" s="21">
        <v>5</v>
      </c>
      <c r="AK50" s="21">
        <v>3</v>
      </c>
      <c r="AL50" s="21">
        <v>3</v>
      </c>
      <c r="AM50" s="21">
        <v>5</v>
      </c>
      <c r="AN50" s="21">
        <v>3</v>
      </c>
      <c r="AO50" s="21">
        <v>5</v>
      </c>
      <c r="AP50" s="21">
        <f>(AI50*$AI$2)+(AJ50*$AJ$2)+(AK50*$AK$2)+(AL50*$AL$2)+(AM50*$AM$2)+(AN50*$AN$2)+(AO50*$AO$2)</f>
        <v>435</v>
      </c>
      <c r="AQ50" s="21">
        <f>AP50+AH50</f>
        <v>705</v>
      </c>
      <c r="AR50" s="20" t="s">
        <v>855</v>
      </c>
      <c r="AS50" s="20" t="s">
        <v>576</v>
      </c>
      <c r="AT50" s="52" t="s">
        <v>166</v>
      </c>
      <c r="AU50" s="189"/>
      <c r="AV50" s="143" t="s">
        <v>54</v>
      </c>
      <c r="AW50" s="102"/>
      <c r="AX50" s="102"/>
      <c r="AY50" s="102"/>
      <c r="AZ50" s="102"/>
      <c r="BA50" s="102"/>
      <c r="BB50" s="102"/>
      <c r="BC50" s="102"/>
      <c r="BD50" s="52">
        <f>SUM(AX50:BC50)</f>
        <v>0</v>
      </c>
      <c r="BE50" s="189"/>
      <c r="BF50" s="102"/>
      <c r="BG50" s="16" t="s">
        <v>58</v>
      </c>
      <c r="BH50" s="48"/>
      <c r="BI50" s="109"/>
      <c r="BJ50" s="109"/>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row>
    <row r="51" spans="1:173" s="50" customFormat="1" ht="53.5" customHeight="1">
      <c r="A51" s="21" t="s">
        <v>854</v>
      </c>
      <c r="B51" s="21">
        <v>35</v>
      </c>
      <c r="C51" s="21"/>
      <c r="D51" s="21"/>
      <c r="E51" s="69" t="s">
        <v>853</v>
      </c>
      <c r="F51" s="69" t="s">
        <v>852</v>
      </c>
      <c r="G51" s="69" t="s">
        <v>851</v>
      </c>
      <c r="H51" s="29"/>
      <c r="I51" s="73">
        <v>45505</v>
      </c>
      <c r="J51" s="73"/>
      <c r="K51" s="54"/>
      <c r="L51" s="47" t="s">
        <v>70</v>
      </c>
      <c r="M51" s="26" t="s">
        <v>74</v>
      </c>
      <c r="N51" s="26" t="s">
        <v>59</v>
      </c>
      <c r="O51" s="23" t="s">
        <v>45</v>
      </c>
      <c r="P51" s="23" t="s">
        <v>68</v>
      </c>
      <c r="Q51" s="16" t="s">
        <v>93</v>
      </c>
      <c r="R51" s="23" t="s">
        <v>8</v>
      </c>
      <c r="S51" s="23" t="s">
        <v>210</v>
      </c>
      <c r="T51" s="23" t="s">
        <v>22</v>
      </c>
      <c r="U51" s="23" t="s">
        <v>850</v>
      </c>
      <c r="V51" s="23" t="s">
        <v>66</v>
      </c>
      <c r="W51" s="22" t="s">
        <v>340</v>
      </c>
      <c r="X51" s="21" t="s">
        <v>5</v>
      </c>
      <c r="Y51" s="21" t="s">
        <v>4</v>
      </c>
      <c r="Z51" s="22" t="s">
        <v>644</v>
      </c>
      <c r="AA51" s="21">
        <v>4</v>
      </c>
      <c r="AB51" s="21">
        <v>5</v>
      </c>
      <c r="AC51" s="21">
        <v>5</v>
      </c>
      <c r="AD51" s="21">
        <v>5</v>
      </c>
      <c r="AE51" s="21">
        <v>1</v>
      </c>
      <c r="AF51" s="21">
        <v>3</v>
      </c>
      <c r="AG51" s="21">
        <v>5</v>
      </c>
      <c r="AH51" s="22">
        <f>(AA51*$AA$2)+(AB51*$AB$2)+(AC51*$AC$2)+(AD51*$AD$2)+(AE51*$AE$2)+(AF51*$AF$2)+(AG51*$AG$2)</f>
        <v>420</v>
      </c>
      <c r="AI51" s="21">
        <v>5</v>
      </c>
      <c r="AJ51" s="21">
        <v>5</v>
      </c>
      <c r="AK51" s="21">
        <v>2</v>
      </c>
      <c r="AL51" s="21">
        <v>5</v>
      </c>
      <c r="AM51" s="21">
        <v>3</v>
      </c>
      <c r="AN51" s="21">
        <v>1</v>
      </c>
      <c r="AO51" s="21">
        <v>5</v>
      </c>
      <c r="AP51" s="21">
        <f>(AI51*$AI$2)+(AJ51*$AJ$2)+(AK51*$AK$2)+(AL51*$AL$2)+(AM51*$AM$2)+(AN51*$AN$2)+(AO51*$AO$2)</f>
        <v>390</v>
      </c>
      <c r="AQ51" s="21">
        <f>AP51+AH51</f>
        <v>810</v>
      </c>
      <c r="AR51" s="88" t="s">
        <v>849</v>
      </c>
      <c r="AS51" s="88" t="s">
        <v>848</v>
      </c>
      <c r="AT51" s="18">
        <v>60000</v>
      </c>
      <c r="AU51" s="17" t="s">
        <v>847</v>
      </c>
      <c r="AV51" s="17" t="s">
        <v>846</v>
      </c>
      <c r="AW51" s="17"/>
      <c r="AX51" s="17"/>
      <c r="AY51" s="17"/>
      <c r="AZ51" s="17"/>
      <c r="BA51" s="17"/>
      <c r="BB51" s="17"/>
      <c r="BC51" s="17"/>
      <c r="BD51" s="52">
        <f>SUM(AX51:BC51)</f>
        <v>0</v>
      </c>
      <c r="BE51" s="17"/>
      <c r="BF51" s="17"/>
      <c r="BG51" s="16" t="s">
        <v>475</v>
      </c>
      <c r="BH51" s="51"/>
    </row>
    <row r="52" spans="1:173" ht="34.5" customHeight="1">
      <c r="A52" s="21"/>
      <c r="B52" s="21">
        <v>128</v>
      </c>
      <c r="C52" s="32"/>
      <c r="D52" s="173">
        <v>31222</v>
      </c>
      <c r="E52" s="69" t="s">
        <v>845</v>
      </c>
      <c r="F52" s="69" t="s">
        <v>844</v>
      </c>
      <c r="G52" s="69" t="s">
        <v>843</v>
      </c>
      <c r="H52" s="29">
        <v>45658</v>
      </c>
      <c r="I52" s="73">
        <v>45658</v>
      </c>
      <c r="J52" s="99">
        <v>45748</v>
      </c>
      <c r="K52" s="184">
        <f>J52-I52</f>
        <v>90</v>
      </c>
      <c r="L52" s="47" t="s">
        <v>14</v>
      </c>
      <c r="M52" s="67" t="s">
        <v>6</v>
      </c>
      <c r="N52" s="25"/>
      <c r="O52" s="23" t="s">
        <v>69</v>
      </c>
      <c r="P52" s="23" t="s">
        <v>58</v>
      </c>
      <c r="Q52" s="170" t="s">
        <v>57</v>
      </c>
      <c r="R52" s="23"/>
      <c r="S52" s="23" t="s">
        <v>842</v>
      </c>
      <c r="T52" s="23" t="s">
        <v>841</v>
      </c>
      <c r="U52" s="170" t="s">
        <v>221</v>
      </c>
      <c r="V52" s="23" t="s">
        <v>56</v>
      </c>
      <c r="W52" s="23" t="s">
        <v>559</v>
      </c>
      <c r="X52" s="21" t="s">
        <v>5</v>
      </c>
      <c r="Y52" s="21" t="s">
        <v>42</v>
      </c>
      <c r="Z52" s="22" t="s">
        <v>3</v>
      </c>
      <c r="AA52" s="21">
        <v>3</v>
      </c>
      <c r="AB52" s="21">
        <v>5</v>
      </c>
      <c r="AC52" s="21">
        <v>4</v>
      </c>
      <c r="AD52" s="21">
        <v>5</v>
      </c>
      <c r="AE52" s="21">
        <v>1</v>
      </c>
      <c r="AF52" s="21">
        <v>3</v>
      </c>
      <c r="AG52" s="21">
        <v>3</v>
      </c>
      <c r="AH52" s="22">
        <f>(AA52*$AA$2)+(AB52*$AB$2)+(AC52*$AC$2)+(AD52*$AD$2)+(AE52*$AE$2)+(AF52*$AF$2)+(AG52*$AG$2)</f>
        <v>360</v>
      </c>
      <c r="AI52" s="21">
        <v>5</v>
      </c>
      <c r="AJ52" s="21">
        <v>5</v>
      </c>
      <c r="AK52" s="21">
        <v>4</v>
      </c>
      <c r="AL52" s="21">
        <v>3</v>
      </c>
      <c r="AM52" s="21">
        <v>3</v>
      </c>
      <c r="AN52" s="21">
        <v>1</v>
      </c>
      <c r="AO52" s="21">
        <v>3</v>
      </c>
      <c r="AP52" s="21">
        <f>(AI52*$AI$2)+(AJ52*$AJ$2)+(AK52*$AK$2)+(AL52*$AL$2)+(AM52*$AM$2)+(AN52*$AN$2)+(AO52*$AO$2)</f>
        <v>360</v>
      </c>
      <c r="AQ52" s="25">
        <f>AP52+AH52</f>
        <v>720</v>
      </c>
      <c r="AR52" s="69" t="s">
        <v>840</v>
      </c>
      <c r="AS52" s="69" t="s">
        <v>839</v>
      </c>
      <c r="AT52" s="23" t="s">
        <v>166</v>
      </c>
      <c r="AU52" s="173"/>
      <c r="AV52" s="17" t="s">
        <v>820</v>
      </c>
      <c r="AW52" s="21"/>
      <c r="AX52" s="21"/>
      <c r="AY52" s="21"/>
      <c r="AZ52" s="21"/>
      <c r="BA52" s="21"/>
      <c r="BB52" s="21"/>
      <c r="BC52" s="21"/>
      <c r="BD52" s="52">
        <f>SUM(AX52:BC52)</f>
        <v>0</v>
      </c>
      <c r="BE52" s="173"/>
      <c r="BF52" s="21"/>
      <c r="BG52" s="21" t="s">
        <v>58</v>
      </c>
      <c r="BH52" s="87" t="s">
        <v>838</v>
      </c>
    </row>
    <row r="53" spans="1:173" ht="26">
      <c r="A53" s="21"/>
      <c r="B53" s="21"/>
      <c r="C53" s="32"/>
      <c r="D53" s="21"/>
      <c r="E53" s="69" t="s">
        <v>837</v>
      </c>
      <c r="F53" s="69" t="s">
        <v>836</v>
      </c>
      <c r="G53" s="69"/>
      <c r="H53" s="29">
        <v>45964</v>
      </c>
      <c r="I53" s="29"/>
      <c r="J53" s="29"/>
      <c r="K53" s="26"/>
      <c r="L53" s="47" t="s">
        <v>39</v>
      </c>
      <c r="M53" s="26" t="s">
        <v>38</v>
      </c>
      <c r="N53" s="25"/>
      <c r="O53" s="68" t="s">
        <v>69</v>
      </c>
      <c r="P53" s="23" t="s">
        <v>12</v>
      </c>
      <c r="Q53" s="23" t="s">
        <v>151</v>
      </c>
      <c r="R53" s="23"/>
      <c r="S53" s="23" t="s">
        <v>37</v>
      </c>
      <c r="T53" s="23" t="s">
        <v>49</v>
      </c>
      <c r="U53" s="23"/>
      <c r="V53" s="23" t="s">
        <v>28</v>
      </c>
      <c r="W53" s="23"/>
      <c r="X53" s="21" t="s">
        <v>5</v>
      </c>
      <c r="Y53" s="21"/>
      <c r="Z53" s="23" t="s">
        <v>18</v>
      </c>
      <c r="AA53" s="22">
        <v>4</v>
      </c>
      <c r="AB53" s="22">
        <v>5</v>
      </c>
      <c r="AC53" s="22">
        <v>3</v>
      </c>
      <c r="AD53" s="22">
        <v>5</v>
      </c>
      <c r="AE53" s="22">
        <v>3</v>
      </c>
      <c r="AF53" s="22">
        <v>3</v>
      </c>
      <c r="AG53" s="22">
        <v>5</v>
      </c>
      <c r="AH53" s="70">
        <f>(AA53*$AA$2)+(AB53*$AB$2)+(AC53*$AC$2)+(AD53*$AD$2)+(AE53*$AE$2)+(AF53*$AF$2)+(AG53*$AG$2)</f>
        <v>420</v>
      </c>
      <c r="AI53" s="22">
        <v>5</v>
      </c>
      <c r="AJ53" s="22">
        <v>5</v>
      </c>
      <c r="AK53" s="22">
        <v>1</v>
      </c>
      <c r="AL53" s="22">
        <v>5</v>
      </c>
      <c r="AM53" s="22">
        <v>3</v>
      </c>
      <c r="AN53" s="22">
        <v>4</v>
      </c>
      <c r="AO53" s="22">
        <v>2</v>
      </c>
      <c r="AP53" s="21">
        <f>(AI53*$AI$2)+(AJ53*$AJ$2)+(AK53*$AK$2)+(AL53*$AL$2)+(AM53*$AM$2)+(AN53*$AN$2)+(AO53*$AO$2)</f>
        <v>375</v>
      </c>
      <c r="AQ53" s="21">
        <f>AP53+AH53</f>
        <v>795</v>
      </c>
      <c r="AR53" s="20"/>
      <c r="AS53" s="20"/>
      <c r="AT53" s="18"/>
      <c r="AU53" s="17"/>
      <c r="AV53" s="17"/>
      <c r="AW53" s="17"/>
      <c r="AX53" s="17"/>
      <c r="AY53" s="17"/>
      <c r="AZ53" s="17"/>
      <c r="BA53" s="17"/>
      <c r="BB53" s="17"/>
      <c r="BC53" s="17"/>
      <c r="BD53" s="17"/>
      <c r="BE53" s="17"/>
      <c r="BF53" s="17"/>
      <c r="BG53" s="16" t="s">
        <v>0</v>
      </c>
      <c r="BH53" s="48"/>
    </row>
    <row r="54" spans="1:173" s="108" customFormat="1" ht="26">
      <c r="A54" s="21"/>
      <c r="B54" s="21"/>
      <c r="C54" s="32"/>
      <c r="D54" s="21"/>
      <c r="E54" s="69" t="s">
        <v>835</v>
      </c>
      <c r="F54" s="69" t="s">
        <v>834</v>
      </c>
      <c r="G54" s="69"/>
      <c r="H54" s="29">
        <v>45964</v>
      </c>
      <c r="I54" s="29"/>
      <c r="J54" s="29"/>
      <c r="K54" s="26"/>
      <c r="L54" s="47" t="s">
        <v>39</v>
      </c>
      <c r="M54" s="26" t="s">
        <v>6</v>
      </c>
      <c r="N54" s="25"/>
      <c r="O54" s="68" t="s">
        <v>32</v>
      </c>
      <c r="P54" s="23" t="s">
        <v>12</v>
      </c>
      <c r="Q54" s="23"/>
      <c r="R54" s="23"/>
      <c r="S54" s="23" t="s">
        <v>10</v>
      </c>
      <c r="T54" s="23" t="s">
        <v>49</v>
      </c>
      <c r="U54" s="23"/>
      <c r="V54" s="23" t="s">
        <v>7</v>
      </c>
      <c r="W54" s="23"/>
      <c r="X54" s="21" t="s">
        <v>5</v>
      </c>
      <c r="Y54" s="21" t="s">
        <v>4</v>
      </c>
      <c r="Z54" s="23"/>
      <c r="AA54" s="22">
        <v>4</v>
      </c>
      <c r="AB54" s="22">
        <v>5</v>
      </c>
      <c r="AC54" s="22">
        <v>2</v>
      </c>
      <c r="AD54" s="22">
        <v>5</v>
      </c>
      <c r="AE54" s="22">
        <v>1</v>
      </c>
      <c r="AF54" s="22">
        <v>1</v>
      </c>
      <c r="AG54" s="22">
        <v>3</v>
      </c>
      <c r="AH54" s="71">
        <f>(AA54*$AA$2)+(AB54*$AB$2)+(AC54*$AC$2)+(AD54*$AD$2)+(AE54*$AE$2)+(AF54*$AF$2)+(AG54*$AG$2)</f>
        <v>315</v>
      </c>
      <c r="AI54" s="22">
        <v>5</v>
      </c>
      <c r="AJ54" s="22">
        <v>5</v>
      </c>
      <c r="AK54" s="22">
        <v>4</v>
      </c>
      <c r="AL54" s="22">
        <v>5</v>
      </c>
      <c r="AM54" s="22">
        <v>5</v>
      </c>
      <c r="AN54" s="22">
        <v>5</v>
      </c>
      <c r="AO54" s="22">
        <v>3</v>
      </c>
      <c r="AP54" s="21">
        <f>(AI54*$AI$2)+(AJ54*$AJ$2)+(AK54*$AK$2)+(AL54*$AL$2)+(AM54*$AM$2)+(AN54*$AN$2)+(AO54*$AO$2)</f>
        <v>480</v>
      </c>
      <c r="AQ54" s="21">
        <f>AP54+AH54</f>
        <v>795</v>
      </c>
      <c r="AR54" s="20"/>
      <c r="AS54" s="20"/>
      <c r="AT54" s="18"/>
      <c r="AU54" s="17"/>
      <c r="AV54" s="103"/>
      <c r="AW54" s="17"/>
      <c r="AX54" s="17"/>
      <c r="AY54" s="17"/>
      <c r="AZ54" s="17"/>
      <c r="BA54" s="17"/>
      <c r="BB54" s="17"/>
      <c r="BC54" s="17"/>
      <c r="BD54" s="17"/>
      <c r="BE54" s="17"/>
      <c r="BF54" s="17"/>
      <c r="BG54" s="16" t="s">
        <v>0</v>
      </c>
      <c r="BH54" s="48"/>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row>
    <row r="55" spans="1:173" ht="88" customHeight="1">
      <c r="A55" s="21"/>
      <c r="B55" s="21">
        <v>7</v>
      </c>
      <c r="C55" s="21"/>
      <c r="D55" s="21"/>
      <c r="E55" s="69" t="s">
        <v>833</v>
      </c>
      <c r="F55" s="69" t="s">
        <v>832</v>
      </c>
      <c r="G55" s="69"/>
      <c r="H55" s="99">
        <v>45689</v>
      </c>
      <c r="I55" s="99">
        <v>45659</v>
      </c>
      <c r="J55" s="99">
        <v>45747</v>
      </c>
      <c r="K55" s="54">
        <f>J55-I55</f>
        <v>88</v>
      </c>
      <c r="L55" s="99" t="s">
        <v>14</v>
      </c>
      <c r="M55" s="26" t="s">
        <v>38</v>
      </c>
      <c r="N55" s="67" t="s">
        <v>731</v>
      </c>
      <c r="O55" s="23" t="s">
        <v>13</v>
      </c>
      <c r="P55" s="23" t="s">
        <v>58</v>
      </c>
      <c r="Q55" s="23" t="s">
        <v>510</v>
      </c>
      <c r="R55" s="23" t="s">
        <v>49</v>
      </c>
      <c r="S55" s="23" t="s">
        <v>128</v>
      </c>
      <c r="T55" s="23" t="s">
        <v>483</v>
      </c>
      <c r="U55" s="23" t="s">
        <v>508</v>
      </c>
      <c r="V55" s="23" t="s">
        <v>66</v>
      </c>
      <c r="W55" s="22" t="s">
        <v>202</v>
      </c>
      <c r="X55" s="21" t="s">
        <v>5</v>
      </c>
      <c r="Y55" s="21" t="s">
        <v>126</v>
      </c>
      <c r="Z55" s="22" t="s">
        <v>18</v>
      </c>
      <c r="AA55" s="22">
        <v>3</v>
      </c>
      <c r="AB55" s="22">
        <v>5</v>
      </c>
      <c r="AC55" s="22">
        <v>2</v>
      </c>
      <c r="AD55" s="22">
        <v>5</v>
      </c>
      <c r="AE55" s="22">
        <v>3</v>
      </c>
      <c r="AF55" s="22">
        <v>3</v>
      </c>
      <c r="AG55" s="22">
        <v>5</v>
      </c>
      <c r="AH55" s="22">
        <f>(AA55*$AA$2)+(AB55*$AB$2)+(AC55*$AC$2)+(AD55*$AD$2)+(AE55*$AE$2)+(AF55*$AF$2)+(AG55*$AG$2)</f>
        <v>390</v>
      </c>
      <c r="AI55" s="22">
        <v>5</v>
      </c>
      <c r="AJ55" s="22">
        <v>5</v>
      </c>
      <c r="AK55" s="22">
        <v>3</v>
      </c>
      <c r="AL55" s="22">
        <v>5</v>
      </c>
      <c r="AM55" s="22">
        <v>5</v>
      </c>
      <c r="AN55" s="22">
        <v>5</v>
      </c>
      <c r="AO55" s="22">
        <v>5</v>
      </c>
      <c r="AP55" s="21">
        <f>(AI55*$AI$2)+(AJ55*$AJ$2)+(AK55*$AK$2)+(AL55*$AL$2)+(AM55*$AM$2)+(AN55*$AN$2)+(AO55*$AO$2)</f>
        <v>495</v>
      </c>
      <c r="AQ55" s="21">
        <f>AP55+AH55</f>
        <v>885</v>
      </c>
      <c r="AR55" s="80" t="s">
        <v>831</v>
      </c>
      <c r="AS55" s="88" t="s">
        <v>830</v>
      </c>
      <c r="AT55" s="23" t="s">
        <v>829</v>
      </c>
      <c r="AU55" s="23"/>
      <c r="AV55" s="143" t="s">
        <v>453</v>
      </c>
      <c r="AW55" s="17"/>
      <c r="AX55" s="17"/>
      <c r="AY55" s="17"/>
      <c r="AZ55" s="17"/>
      <c r="BA55" s="17"/>
      <c r="BB55" s="17"/>
      <c r="BC55" s="17"/>
      <c r="BD55" s="52">
        <f>SUM(AX55:BC55)</f>
        <v>0</v>
      </c>
      <c r="BE55" s="23"/>
      <c r="BF55" s="23"/>
      <c r="BG55" s="16" t="s">
        <v>58</v>
      </c>
      <c r="BH55" s="101"/>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row>
    <row r="56" spans="1:173" s="50" customFormat="1" ht="87.5" customHeight="1">
      <c r="A56" s="21"/>
      <c r="B56" s="21">
        <v>5</v>
      </c>
      <c r="C56" s="32"/>
      <c r="D56" s="21">
        <v>30498</v>
      </c>
      <c r="E56" s="69" t="s">
        <v>828</v>
      </c>
      <c r="F56" s="69" t="s">
        <v>827</v>
      </c>
      <c r="G56" s="69" t="s">
        <v>826</v>
      </c>
      <c r="H56" s="29" t="s">
        <v>107</v>
      </c>
      <c r="I56" s="73">
        <v>45658</v>
      </c>
      <c r="J56" s="73"/>
      <c r="K56" s="103"/>
      <c r="L56" s="47" t="s">
        <v>112</v>
      </c>
      <c r="M56" s="67" t="s">
        <v>6</v>
      </c>
      <c r="N56" s="25"/>
      <c r="O56" s="23" t="s">
        <v>69</v>
      </c>
      <c r="P56" s="23" t="s">
        <v>33</v>
      </c>
      <c r="Q56" s="23" t="s">
        <v>825</v>
      </c>
      <c r="R56" s="23"/>
      <c r="S56" s="23" t="s">
        <v>92</v>
      </c>
      <c r="T56" s="23" t="s">
        <v>824</v>
      </c>
      <c r="U56" s="23" t="s">
        <v>823</v>
      </c>
      <c r="V56" s="23" t="s">
        <v>7</v>
      </c>
      <c r="W56" s="23"/>
      <c r="X56" s="21" t="s">
        <v>5</v>
      </c>
      <c r="Y56" s="21" t="s">
        <v>42</v>
      </c>
      <c r="Z56" s="22" t="s">
        <v>3</v>
      </c>
      <c r="AA56" s="26">
        <v>5</v>
      </c>
      <c r="AB56" s="26">
        <v>5</v>
      </c>
      <c r="AC56" s="26">
        <v>2</v>
      </c>
      <c r="AD56" s="26">
        <v>5</v>
      </c>
      <c r="AE56" s="26">
        <v>3</v>
      </c>
      <c r="AF56" s="26">
        <v>3</v>
      </c>
      <c r="AG56" s="26">
        <v>3</v>
      </c>
      <c r="AH56" s="22">
        <f>(AA56*$AA$2)+(AB56*$AB$2)+(AC56*$AC$2)+(AD56*$AD$2)+(AE56*$AE$2)+(AF56*$AF$2)+(AG56*$AG$2)</f>
        <v>390</v>
      </c>
      <c r="AI56" s="21">
        <v>5</v>
      </c>
      <c r="AJ56" s="21">
        <v>5</v>
      </c>
      <c r="AK56" s="21">
        <v>3</v>
      </c>
      <c r="AL56" s="21">
        <v>5</v>
      </c>
      <c r="AM56" s="21">
        <v>3</v>
      </c>
      <c r="AN56" s="21">
        <v>5</v>
      </c>
      <c r="AO56" s="21">
        <v>3</v>
      </c>
      <c r="AP56" s="21">
        <f>(AI56*$AI$2)+(AJ56*$AJ$2)+(AK56*$AK$2)+(AL56*$AL$2)+(AM56*$AM$2)+(AN56*$AN$2)+(AO56*$AO$2)</f>
        <v>435</v>
      </c>
      <c r="AQ56" s="21">
        <f>AP56+AH56</f>
        <v>825</v>
      </c>
      <c r="AR56" s="87" t="s">
        <v>822</v>
      </c>
      <c r="AS56" s="88" t="s">
        <v>821</v>
      </c>
      <c r="AT56" s="23"/>
      <c r="AU56" s="17"/>
      <c r="AV56" s="17" t="s">
        <v>820</v>
      </c>
      <c r="AW56" s="17"/>
      <c r="AX56" s="17"/>
      <c r="AY56" s="17"/>
      <c r="AZ56" s="17"/>
      <c r="BA56" s="17"/>
      <c r="BB56" s="17"/>
      <c r="BC56" s="17"/>
      <c r="BD56" s="52">
        <f>SUM(AX56:BC56)</f>
        <v>0</v>
      </c>
      <c r="BE56" s="17"/>
      <c r="BF56" s="17"/>
      <c r="BG56" s="16" t="s">
        <v>192</v>
      </c>
      <c r="BH56" s="48"/>
      <c r="BI56" s="1"/>
      <c r="BJ56" s="1"/>
      <c r="BK56" s="108"/>
      <c r="BL56" s="108"/>
      <c r="BM56" s="108"/>
      <c r="BN56" s="108"/>
      <c r="BO56" s="108"/>
      <c r="BP56" s="108"/>
      <c r="BQ56" s="108"/>
      <c r="BR56" s="108"/>
      <c r="BS56" s="108"/>
      <c r="BT56" s="108"/>
      <c r="BU56" s="108"/>
      <c r="BV56" s="108"/>
      <c r="BW56" s="108"/>
      <c r="BX56" s="108"/>
      <c r="BY56" s="108"/>
      <c r="BZ56" s="108"/>
      <c r="CA56" s="108"/>
      <c r="CB56" s="108"/>
      <c r="CC56" s="108"/>
      <c r="CD56" s="108"/>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c r="DD56" s="108"/>
      <c r="DE56" s="108"/>
      <c r="DF56" s="108"/>
      <c r="DG56" s="108"/>
      <c r="DH56" s="108"/>
      <c r="DI56" s="108"/>
      <c r="DJ56" s="108"/>
      <c r="DK56" s="108"/>
      <c r="DL56" s="108"/>
      <c r="DM56" s="108"/>
      <c r="DN56" s="108"/>
      <c r="DO56" s="108"/>
      <c r="DP56" s="108"/>
      <c r="DQ56" s="108"/>
      <c r="DR56" s="108"/>
      <c r="DS56" s="108"/>
      <c r="DT56" s="108"/>
      <c r="DU56" s="108"/>
      <c r="DV56" s="108"/>
      <c r="DW56" s="108"/>
      <c r="DX56" s="108"/>
      <c r="DY56" s="108"/>
      <c r="DZ56" s="108"/>
      <c r="EA56" s="108"/>
      <c r="EB56" s="108"/>
      <c r="EC56" s="108"/>
      <c r="ED56" s="108"/>
      <c r="EE56" s="108"/>
      <c r="EF56" s="108"/>
      <c r="EG56" s="108"/>
      <c r="EH56" s="108"/>
      <c r="EI56" s="108"/>
      <c r="EJ56" s="108"/>
      <c r="EK56" s="108"/>
      <c r="EL56" s="108"/>
      <c r="EM56" s="108"/>
      <c r="EN56" s="108"/>
      <c r="EO56" s="108"/>
      <c r="EP56" s="108"/>
      <c r="EQ56" s="108"/>
      <c r="ER56" s="108"/>
      <c r="ES56" s="108"/>
      <c r="ET56" s="108"/>
      <c r="EU56" s="108"/>
      <c r="EV56" s="108"/>
      <c r="EW56" s="108"/>
      <c r="EX56" s="108"/>
      <c r="EY56" s="108"/>
      <c r="EZ56" s="108"/>
      <c r="FA56" s="108"/>
      <c r="FB56" s="108"/>
      <c r="FC56" s="108"/>
      <c r="FD56" s="108"/>
      <c r="FE56" s="108"/>
      <c r="FF56" s="108"/>
      <c r="FG56" s="108"/>
      <c r="FH56" s="108"/>
      <c r="FI56" s="108"/>
      <c r="FJ56" s="108"/>
      <c r="FK56" s="108"/>
      <c r="FL56" s="108"/>
      <c r="FM56" s="108"/>
      <c r="FN56" s="108"/>
      <c r="FO56" s="108"/>
      <c r="FP56" s="108"/>
      <c r="FQ56" s="108"/>
    </row>
    <row r="57" spans="1:173" s="111" customFormat="1" ht="39">
      <c r="A57" s="21"/>
      <c r="B57" s="21">
        <v>1</v>
      </c>
      <c r="C57" s="21"/>
      <c r="D57" s="21"/>
      <c r="E57" s="69" t="s">
        <v>819</v>
      </c>
      <c r="F57" s="69" t="s">
        <v>818</v>
      </c>
      <c r="G57" s="69" t="s">
        <v>817</v>
      </c>
      <c r="H57" s="29">
        <v>45791</v>
      </c>
      <c r="I57" s="73">
        <v>45791</v>
      </c>
      <c r="J57" s="73">
        <v>45870</v>
      </c>
      <c r="K57" s="54">
        <f>J57-I57</f>
        <v>79</v>
      </c>
      <c r="L57" s="188" t="s">
        <v>14</v>
      </c>
      <c r="M57" s="105" t="s">
        <v>38</v>
      </c>
      <c r="N57" s="25" t="s">
        <v>59</v>
      </c>
      <c r="O57" s="23" t="s">
        <v>45</v>
      </c>
      <c r="P57" s="23" t="s">
        <v>58</v>
      </c>
      <c r="Q57" s="21" t="s">
        <v>93</v>
      </c>
      <c r="R57" s="23"/>
      <c r="S57" s="23" t="s">
        <v>128</v>
      </c>
      <c r="T57" s="23" t="s">
        <v>128</v>
      </c>
      <c r="U57" s="23" t="s">
        <v>163</v>
      </c>
      <c r="V57" s="23" t="s">
        <v>66</v>
      </c>
      <c r="W57" s="23" t="s">
        <v>27</v>
      </c>
      <c r="X57" s="21" t="s">
        <v>5</v>
      </c>
      <c r="Y57" s="21" t="s">
        <v>126</v>
      </c>
      <c r="Z57" s="88" t="s">
        <v>18</v>
      </c>
      <c r="AA57" s="21">
        <v>3</v>
      </c>
      <c r="AB57" s="21">
        <v>5</v>
      </c>
      <c r="AC57" s="21">
        <v>1</v>
      </c>
      <c r="AD57" s="21">
        <v>5</v>
      </c>
      <c r="AE57" s="21">
        <v>1</v>
      </c>
      <c r="AF57" s="21">
        <v>3</v>
      </c>
      <c r="AG57" s="21">
        <v>3</v>
      </c>
      <c r="AH57" s="22">
        <f>(AA57*$AA$2)+(AB57*$AB$2)+(AC57*$AC$2)+(AD57*$AD$2)+(AE57*$AE$2)+(AF57*$AF$2)+(AG57*$AG$2)</f>
        <v>315</v>
      </c>
      <c r="AI57" s="21">
        <v>5</v>
      </c>
      <c r="AJ57" s="21">
        <v>5</v>
      </c>
      <c r="AK57" s="21">
        <v>3</v>
      </c>
      <c r="AL57" s="21">
        <v>3</v>
      </c>
      <c r="AM57" s="21">
        <v>5</v>
      </c>
      <c r="AN57" s="21">
        <v>3</v>
      </c>
      <c r="AO57" s="21">
        <v>5</v>
      </c>
      <c r="AP57" s="21">
        <f>(AI57*$AI$2)+(AJ57*$AJ$2)+(AK57*$AK$2)+(AL57*$AL$2)+(AM57*$AM$2)+(AN57*$AN$2)+(AO57*$AO$2)</f>
        <v>435</v>
      </c>
      <c r="AQ57" s="21">
        <f>AP57+AH57</f>
        <v>750</v>
      </c>
      <c r="AR57" s="80" t="s">
        <v>816</v>
      </c>
      <c r="AS57" s="80"/>
      <c r="AT57" s="134" t="s">
        <v>487</v>
      </c>
      <c r="AU57" s="102"/>
      <c r="AV57" s="17" t="s">
        <v>258</v>
      </c>
      <c r="AW57" s="102"/>
      <c r="AX57" s="102"/>
      <c r="AY57" s="102"/>
      <c r="AZ57" s="102"/>
      <c r="BA57" s="102"/>
      <c r="BB57" s="102"/>
      <c r="BC57" s="102"/>
      <c r="BD57" s="52">
        <f>SUM(AX57:BC57)</f>
        <v>0</v>
      </c>
      <c r="BE57" s="102"/>
      <c r="BF57" s="102"/>
      <c r="BG57" s="21" t="s">
        <v>711</v>
      </c>
      <c r="BH57" s="101"/>
      <c r="BI57" s="109"/>
      <c r="BJ57" s="109"/>
      <c r="BK57" s="109"/>
      <c r="BL57" s="109"/>
      <c r="BM57" s="109"/>
      <c r="BN57" s="109"/>
      <c r="BO57" s="109"/>
      <c r="BP57" s="109"/>
      <c r="BQ57" s="109"/>
      <c r="BR57" s="109"/>
      <c r="BS57" s="109"/>
      <c r="BT57" s="109"/>
      <c r="BU57" s="109"/>
      <c r="BV57" s="109"/>
      <c r="BW57" s="109"/>
      <c r="BX57" s="109"/>
      <c r="BY57" s="109"/>
      <c r="BZ57" s="109"/>
      <c r="CA57" s="109"/>
      <c r="CB57" s="10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c r="FO57" s="109"/>
      <c r="FP57" s="109"/>
      <c r="FQ57" s="109"/>
    </row>
    <row r="58" spans="1:173" s="50" customFormat="1" ht="52">
      <c r="A58" s="21"/>
      <c r="B58" s="21">
        <v>1</v>
      </c>
      <c r="C58" s="16"/>
      <c r="D58" s="21"/>
      <c r="E58" s="69" t="s">
        <v>815</v>
      </c>
      <c r="F58" s="69" t="s">
        <v>814</v>
      </c>
      <c r="G58" s="69" t="s">
        <v>813</v>
      </c>
      <c r="H58" s="29">
        <v>45783</v>
      </c>
      <c r="I58" s="73">
        <v>45823</v>
      </c>
      <c r="J58" s="73">
        <v>45897</v>
      </c>
      <c r="K58" s="130">
        <f>J58-I58</f>
        <v>74</v>
      </c>
      <c r="L58" s="72" t="s">
        <v>14</v>
      </c>
      <c r="M58" s="105" t="s">
        <v>38</v>
      </c>
      <c r="N58" s="25" t="s">
        <v>59</v>
      </c>
      <c r="O58" s="23" t="s">
        <v>32</v>
      </c>
      <c r="P58" s="23" t="s">
        <v>58</v>
      </c>
      <c r="Q58" s="16" t="s">
        <v>57</v>
      </c>
      <c r="R58" s="23" t="s">
        <v>273</v>
      </c>
      <c r="S58" s="23" t="s">
        <v>378</v>
      </c>
      <c r="T58" s="23" t="s">
        <v>812</v>
      </c>
      <c r="U58" s="23" t="s">
        <v>8</v>
      </c>
      <c r="V58" s="23" t="s">
        <v>8</v>
      </c>
      <c r="W58" s="23" t="s">
        <v>27</v>
      </c>
      <c r="X58" s="21" t="s">
        <v>5</v>
      </c>
      <c r="Y58" s="21" t="s">
        <v>4</v>
      </c>
      <c r="Z58" s="88" t="s">
        <v>18</v>
      </c>
      <c r="AA58" s="21">
        <v>3</v>
      </c>
      <c r="AB58" s="21">
        <v>5</v>
      </c>
      <c r="AC58" s="21">
        <v>1</v>
      </c>
      <c r="AD58" s="21">
        <v>5</v>
      </c>
      <c r="AE58" s="21">
        <v>0</v>
      </c>
      <c r="AF58" s="21">
        <v>3</v>
      </c>
      <c r="AG58" s="21">
        <v>3</v>
      </c>
      <c r="AH58" s="22">
        <f>(AA58*$AA$2)+(AB58*$AB$2)+(AC58*$AC$2)+(AD58*$AD$2)+(AE58*$AE$2)+(AF58*$AF$2)+(AG58*$AG$2)</f>
        <v>300</v>
      </c>
      <c r="AI58" s="21">
        <v>5</v>
      </c>
      <c r="AJ58" s="21">
        <v>5</v>
      </c>
      <c r="AK58" s="21">
        <v>4</v>
      </c>
      <c r="AL58" s="21">
        <v>5</v>
      </c>
      <c r="AM58" s="21">
        <v>3</v>
      </c>
      <c r="AN58" s="21">
        <v>5</v>
      </c>
      <c r="AO58" s="21">
        <v>5</v>
      </c>
      <c r="AP58" s="21">
        <f>(AI58*$AI$2)+(AJ58*$AJ$2)+(AK58*$AK$2)+(AL58*$AL$2)+(AM58*$AM$2)+(AN58*$AN$2)+(AO58*$AO$2)</f>
        <v>480</v>
      </c>
      <c r="AQ58" s="21">
        <f>AP58+AH58</f>
        <v>780</v>
      </c>
      <c r="AR58" s="80" t="s">
        <v>811</v>
      </c>
      <c r="AS58" s="80"/>
      <c r="AT58" s="18" t="s">
        <v>810</v>
      </c>
      <c r="AU58" s="17"/>
      <c r="AV58" s="17" t="s">
        <v>374</v>
      </c>
      <c r="AW58" s="17"/>
      <c r="AX58" s="17"/>
      <c r="AY58" s="17"/>
      <c r="AZ58" s="17"/>
      <c r="BA58" s="17"/>
      <c r="BB58" s="17"/>
      <c r="BC58" s="17"/>
      <c r="BD58" s="52">
        <f>SUM(AX58:BC58)</f>
        <v>0</v>
      </c>
      <c r="BE58" s="16"/>
      <c r="BF58" s="51"/>
      <c r="BG58" s="16" t="s">
        <v>58</v>
      </c>
      <c r="BH58" s="51"/>
      <c r="BI58" s="109"/>
      <c r="BJ58" s="109"/>
      <c r="BK58" s="109"/>
      <c r="BL58" s="109"/>
      <c r="BM58" s="109"/>
      <c r="BN58" s="109"/>
      <c r="BO58" s="109"/>
      <c r="BP58" s="109"/>
      <c r="BQ58" s="109"/>
      <c r="BR58" s="109"/>
      <c r="BS58" s="109"/>
      <c r="BT58" s="109"/>
      <c r="BU58" s="109"/>
      <c r="BV58" s="109"/>
      <c r="BW58" s="109"/>
      <c r="BX58" s="109"/>
      <c r="BY58" s="109"/>
      <c r="BZ58" s="109"/>
      <c r="CA58" s="109"/>
      <c r="CB58" s="10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row>
    <row r="59" spans="1:173" s="50" customFormat="1" ht="69" customHeight="1">
      <c r="A59" s="21"/>
      <c r="B59" s="21">
        <v>19</v>
      </c>
      <c r="C59" s="21"/>
      <c r="D59" s="21"/>
      <c r="E59" s="69" t="s">
        <v>809</v>
      </c>
      <c r="F59" s="69" t="s">
        <v>808</v>
      </c>
      <c r="G59" s="69"/>
      <c r="H59" s="29"/>
      <c r="I59" s="73">
        <v>45839</v>
      </c>
      <c r="J59" s="73">
        <v>45901</v>
      </c>
      <c r="K59" s="54">
        <f>J59-I59</f>
        <v>62</v>
      </c>
      <c r="L59" s="47" t="s">
        <v>14</v>
      </c>
      <c r="M59" s="26" t="s">
        <v>6</v>
      </c>
      <c r="N59" s="25"/>
      <c r="O59" s="23" t="s">
        <v>32</v>
      </c>
      <c r="P59" s="23" t="s">
        <v>58</v>
      </c>
      <c r="Q59" s="23" t="s">
        <v>57</v>
      </c>
      <c r="R59" s="23" t="s">
        <v>259</v>
      </c>
      <c r="S59" s="23" t="s">
        <v>10</v>
      </c>
      <c r="T59" s="23" t="s">
        <v>9</v>
      </c>
      <c r="U59" s="23"/>
      <c r="V59" s="23" t="s">
        <v>56</v>
      </c>
      <c r="W59" s="23" t="s">
        <v>6</v>
      </c>
      <c r="X59" s="21" t="s">
        <v>5</v>
      </c>
      <c r="Y59" s="23" t="s">
        <v>126</v>
      </c>
      <c r="Z59" s="23" t="s">
        <v>3</v>
      </c>
      <c r="AA59" s="22">
        <v>3</v>
      </c>
      <c r="AB59" s="22">
        <v>5</v>
      </c>
      <c r="AC59" s="22">
        <v>1</v>
      </c>
      <c r="AD59" s="22">
        <v>5</v>
      </c>
      <c r="AE59" s="22">
        <v>0</v>
      </c>
      <c r="AF59" s="22">
        <v>3</v>
      </c>
      <c r="AG59" s="22">
        <v>3</v>
      </c>
      <c r="AH59" s="22">
        <f>(AA59*$AA$2)+(AB59*$AB$2)+(AC59*$AC$2)+(AD59*$AD$2)+(AE59*$AE$2)+(AF59*$AF$2)+(AG59*$AG$2)</f>
        <v>300</v>
      </c>
      <c r="AI59" s="22">
        <v>5</v>
      </c>
      <c r="AJ59" s="22">
        <v>5</v>
      </c>
      <c r="AK59" s="22">
        <v>2</v>
      </c>
      <c r="AL59" s="22">
        <v>3</v>
      </c>
      <c r="AM59" s="22">
        <v>5</v>
      </c>
      <c r="AN59" s="22">
        <v>3</v>
      </c>
      <c r="AO59" s="22">
        <v>5</v>
      </c>
      <c r="AP59" s="21">
        <f>(AI59*$AI$2)+(AJ59*$AJ$2)+(AK59*$AK$2)+(AL59*$AL$2)+(AM59*$AM$2)+(AN59*$AN$2)+(AO59*$AO$2)</f>
        <v>420</v>
      </c>
      <c r="AQ59" s="23">
        <f>AP59+AH59</f>
        <v>720</v>
      </c>
      <c r="AR59" s="20" t="s">
        <v>807</v>
      </c>
      <c r="AS59" s="20"/>
      <c r="AT59" s="18" t="s">
        <v>227</v>
      </c>
      <c r="AU59" s="17"/>
      <c r="AV59" s="17" t="s">
        <v>374</v>
      </c>
      <c r="AW59" s="17"/>
      <c r="AX59" s="17"/>
      <c r="AY59" s="17"/>
      <c r="AZ59" s="17"/>
      <c r="BA59" s="17"/>
      <c r="BB59" s="17"/>
      <c r="BC59" s="17"/>
      <c r="BD59" s="52">
        <f>SUM(AX59:BC59)</f>
        <v>0</v>
      </c>
      <c r="BE59" s="17"/>
      <c r="BF59" s="17"/>
      <c r="BG59" s="16" t="s">
        <v>58</v>
      </c>
      <c r="BH59" s="48"/>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row>
    <row r="60" spans="1:173" s="50" customFormat="1" ht="66.5" customHeight="1">
      <c r="A60" s="21"/>
      <c r="B60" s="21">
        <v>1</v>
      </c>
      <c r="C60" s="16"/>
      <c r="D60" s="173"/>
      <c r="E60" s="69" t="s">
        <v>806</v>
      </c>
      <c r="F60" s="69" t="s">
        <v>805</v>
      </c>
      <c r="G60" s="69" t="s">
        <v>804</v>
      </c>
      <c r="H60" s="29">
        <v>45748</v>
      </c>
      <c r="I60" s="73">
        <v>45748</v>
      </c>
      <c r="J60" s="73">
        <v>45809</v>
      </c>
      <c r="K60" s="172">
        <f>J60-I60</f>
        <v>61</v>
      </c>
      <c r="L60" s="72" t="s">
        <v>14</v>
      </c>
      <c r="M60" s="105" t="s">
        <v>38</v>
      </c>
      <c r="N60" s="25"/>
      <c r="O60" s="23" t="s">
        <v>13</v>
      </c>
      <c r="P60" s="23" t="s">
        <v>58</v>
      </c>
      <c r="Q60" s="170" t="s">
        <v>31</v>
      </c>
      <c r="R60" s="23" t="s">
        <v>42</v>
      </c>
      <c r="S60" s="23" t="s">
        <v>803</v>
      </c>
      <c r="T60" s="23" t="s">
        <v>803</v>
      </c>
      <c r="U60" s="170" t="s">
        <v>31</v>
      </c>
      <c r="V60" s="23" t="s">
        <v>31</v>
      </c>
      <c r="W60" s="23" t="s">
        <v>27</v>
      </c>
      <c r="X60" s="21" t="s">
        <v>5</v>
      </c>
      <c r="Y60" s="23" t="s">
        <v>42</v>
      </c>
      <c r="Z60" s="23" t="s">
        <v>18</v>
      </c>
      <c r="AA60" s="21">
        <v>5</v>
      </c>
      <c r="AB60" s="21">
        <v>5</v>
      </c>
      <c r="AC60" s="21">
        <v>3</v>
      </c>
      <c r="AD60" s="21">
        <v>5</v>
      </c>
      <c r="AE60" s="21">
        <v>1</v>
      </c>
      <c r="AF60" s="21">
        <v>3</v>
      </c>
      <c r="AG60" s="21">
        <v>3</v>
      </c>
      <c r="AH60" s="22">
        <f>(AA60*$AA$2)+(AB60*$AB$2)+(AC60*$AC$2)+(AD60*$AD$2)+(AE60*$AE$2)+(AF60*$AF$2)+(AG60*$AG$2)</f>
        <v>375</v>
      </c>
      <c r="AI60" s="21">
        <v>4</v>
      </c>
      <c r="AJ60" s="21">
        <v>5</v>
      </c>
      <c r="AK60" s="21">
        <v>3</v>
      </c>
      <c r="AL60" s="21">
        <v>3</v>
      </c>
      <c r="AM60" s="21">
        <v>3</v>
      </c>
      <c r="AN60" s="21">
        <v>5</v>
      </c>
      <c r="AO60" s="21">
        <v>3</v>
      </c>
      <c r="AP60" s="21">
        <f>(AI60*$AI$2)+(AJ60*$AJ$2)+(AK60*$AK$2)+(AL60*$AL$2)+(AM60*$AM$2)+(AN60*$AN$2)+(AO60*$AO$2)</f>
        <v>390</v>
      </c>
      <c r="AQ60" s="21">
        <f>AP60+AH60</f>
        <v>765</v>
      </c>
      <c r="AR60" s="80" t="s">
        <v>802</v>
      </c>
      <c r="AS60" s="80" t="s">
        <v>801</v>
      </c>
      <c r="AT60" s="23" t="s">
        <v>800</v>
      </c>
      <c r="AU60" s="169"/>
      <c r="AV60" s="23" t="s">
        <v>799</v>
      </c>
      <c r="AW60" s="17"/>
      <c r="AX60" s="17"/>
      <c r="AY60" s="17"/>
      <c r="AZ60" s="17"/>
      <c r="BA60" s="17"/>
      <c r="BB60" s="17"/>
      <c r="BC60" s="17"/>
      <c r="BD60" s="52">
        <f>SUM(AX60:BC60)</f>
        <v>0</v>
      </c>
      <c r="BE60" s="169"/>
      <c r="BF60" s="17"/>
      <c r="BG60" s="16" t="s">
        <v>58</v>
      </c>
      <c r="BH60" s="123" t="s">
        <v>798</v>
      </c>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row>
    <row r="61" spans="1:173" s="109" customFormat="1" ht="92" customHeight="1">
      <c r="A61" s="21"/>
      <c r="B61" s="21"/>
      <c r="C61" s="21"/>
      <c r="D61" s="173"/>
      <c r="E61" s="69" t="s">
        <v>797</v>
      </c>
      <c r="F61" s="69" t="s">
        <v>796</v>
      </c>
      <c r="G61" s="69" t="s">
        <v>268</v>
      </c>
      <c r="H61" s="29">
        <v>45870</v>
      </c>
      <c r="I61" s="73">
        <v>45870</v>
      </c>
      <c r="J61" s="73">
        <v>45930</v>
      </c>
      <c r="K61" s="184">
        <f>J61-I61</f>
        <v>60</v>
      </c>
      <c r="L61" s="47" t="s">
        <v>14</v>
      </c>
      <c r="M61" s="26" t="s">
        <v>38</v>
      </c>
      <c r="N61" s="25"/>
      <c r="O61" s="23" t="s">
        <v>69</v>
      </c>
      <c r="P61" s="23" t="s">
        <v>58</v>
      </c>
      <c r="Q61" s="170" t="s">
        <v>267</v>
      </c>
      <c r="R61" s="23"/>
      <c r="S61" s="23" t="s">
        <v>266</v>
      </c>
      <c r="T61" s="23" t="s">
        <v>266</v>
      </c>
      <c r="U61" s="170" t="s">
        <v>265</v>
      </c>
      <c r="V61" s="23" t="s">
        <v>184</v>
      </c>
      <c r="W61" s="23" t="s">
        <v>264</v>
      </c>
      <c r="X61" s="21" t="s">
        <v>5</v>
      </c>
      <c r="Y61" s="21" t="s">
        <v>126</v>
      </c>
      <c r="Z61" s="23" t="s">
        <v>18</v>
      </c>
      <c r="AA61" s="22">
        <v>5</v>
      </c>
      <c r="AB61" s="22">
        <v>5</v>
      </c>
      <c r="AC61" s="22">
        <v>3</v>
      </c>
      <c r="AD61" s="22">
        <v>5</v>
      </c>
      <c r="AE61" s="22">
        <v>5</v>
      </c>
      <c r="AF61" s="22">
        <v>5</v>
      </c>
      <c r="AG61" s="22">
        <v>3</v>
      </c>
      <c r="AH61" s="22">
        <f>(AA61*$AA$2)+(AB61*$AB$2)+(AC61*$AC$2)+(AD61*$AD$2)+(AE61*$AE$2)+(AF61*$AF$2)+(AG61*$AG$2)</f>
        <v>465</v>
      </c>
      <c r="AI61" s="22">
        <v>5</v>
      </c>
      <c r="AJ61" s="22">
        <v>5</v>
      </c>
      <c r="AK61" s="22">
        <v>2</v>
      </c>
      <c r="AL61" s="22">
        <v>5</v>
      </c>
      <c r="AM61" s="22">
        <v>3</v>
      </c>
      <c r="AN61" s="22">
        <v>3</v>
      </c>
      <c r="AO61" s="22">
        <v>5</v>
      </c>
      <c r="AP61" s="21">
        <f>(AI61*$AI$2)+(AJ61*$AJ$2)+(AK61*$AK$2)+(AL61*$AL$2)+(AM61*$AM$2)+(AN61*$AN$2)+(AO61*$AO$2)</f>
        <v>420</v>
      </c>
      <c r="AQ61" s="23">
        <f>AP61+AH61</f>
        <v>885</v>
      </c>
      <c r="AR61" s="20" t="s">
        <v>263</v>
      </c>
      <c r="AS61" s="20"/>
      <c r="AT61" s="18" t="s">
        <v>795</v>
      </c>
      <c r="AU61" s="169"/>
      <c r="AV61" s="179" t="s">
        <v>262</v>
      </c>
      <c r="AW61" s="17"/>
      <c r="AX61" s="17"/>
      <c r="AY61" s="17"/>
      <c r="AZ61" s="17"/>
      <c r="BA61" s="17"/>
      <c r="BB61" s="17"/>
      <c r="BC61" s="17"/>
      <c r="BD61" s="52">
        <f>SUM(AX61:BC61)</f>
        <v>0</v>
      </c>
      <c r="BE61" s="169"/>
      <c r="BF61" s="77"/>
      <c r="BG61" s="16" t="s">
        <v>58</v>
      </c>
      <c r="BH61" s="48"/>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row>
    <row r="62" spans="1:173" ht="81.5" customHeight="1">
      <c r="A62" s="21"/>
      <c r="B62" s="21">
        <v>1</v>
      </c>
      <c r="C62" s="16"/>
      <c r="D62" s="173"/>
      <c r="E62" s="69" t="s">
        <v>794</v>
      </c>
      <c r="F62" s="69" t="s">
        <v>793</v>
      </c>
      <c r="G62" s="69" t="s">
        <v>792</v>
      </c>
      <c r="H62" s="29">
        <v>45783</v>
      </c>
      <c r="I62" s="73">
        <v>45783</v>
      </c>
      <c r="J62" s="73">
        <v>45838</v>
      </c>
      <c r="K62" s="172">
        <f>J62-I62</f>
        <v>55</v>
      </c>
      <c r="L62" s="72" t="s">
        <v>14</v>
      </c>
      <c r="M62" s="105" t="s">
        <v>38</v>
      </c>
      <c r="N62" s="25" t="s">
        <v>59</v>
      </c>
      <c r="O62" s="23" t="s">
        <v>13</v>
      </c>
      <c r="P62" s="23" t="s">
        <v>58</v>
      </c>
      <c r="Q62" s="171" t="s">
        <v>57</v>
      </c>
      <c r="R62" s="23" t="s">
        <v>377</v>
      </c>
      <c r="S62" s="23" t="s">
        <v>378</v>
      </c>
      <c r="T62" s="23" t="s">
        <v>377</v>
      </c>
      <c r="U62" s="170" t="s">
        <v>8</v>
      </c>
      <c r="V62" s="23"/>
      <c r="W62" s="23" t="s">
        <v>27</v>
      </c>
      <c r="X62" s="21" t="s">
        <v>5</v>
      </c>
      <c r="Y62" s="21" t="s">
        <v>4</v>
      </c>
      <c r="Z62" s="88" t="s">
        <v>18</v>
      </c>
      <c r="AA62" s="21">
        <v>3</v>
      </c>
      <c r="AB62" s="21">
        <v>5</v>
      </c>
      <c r="AC62" s="21">
        <v>2</v>
      </c>
      <c r="AD62" s="21">
        <v>5</v>
      </c>
      <c r="AE62" s="21">
        <v>0</v>
      </c>
      <c r="AF62" s="21">
        <v>3</v>
      </c>
      <c r="AG62" s="21">
        <v>3</v>
      </c>
      <c r="AH62" s="22">
        <f>(AA62*$AA$2)+(AB62*$AB$2)+(AC62*$AC$2)+(AD62*$AD$2)+(AE62*$AE$2)+(AF62*$AF$2)+(AG62*$AG$2)</f>
        <v>315</v>
      </c>
      <c r="AI62" s="21">
        <v>5</v>
      </c>
      <c r="AJ62" s="21">
        <v>5</v>
      </c>
      <c r="AK62" s="21">
        <v>4</v>
      </c>
      <c r="AL62" s="21">
        <v>5</v>
      </c>
      <c r="AM62" s="21">
        <v>3</v>
      </c>
      <c r="AN62" s="21">
        <v>5</v>
      </c>
      <c r="AO62" s="21">
        <v>5</v>
      </c>
      <c r="AP62" s="21">
        <f>(AI62*$AI$2)+(AJ62*$AJ$2)+(AK62*$AK$2)+(AL62*$AL$2)+(AM62*$AM$2)+(AN62*$AN$2)+(AO62*$AO$2)</f>
        <v>480</v>
      </c>
      <c r="AQ62" s="21">
        <f>AP62+AH62</f>
        <v>795</v>
      </c>
      <c r="AR62" s="80" t="s">
        <v>791</v>
      </c>
      <c r="AS62" s="80" t="s">
        <v>790</v>
      </c>
      <c r="AT62" s="18" t="s">
        <v>394</v>
      </c>
      <c r="AU62" s="169"/>
      <c r="AV62" s="21" t="s">
        <v>54</v>
      </c>
      <c r="AW62" s="17"/>
      <c r="AX62" s="17"/>
      <c r="AY62" s="17"/>
      <c r="AZ62" s="17"/>
      <c r="BA62" s="17"/>
      <c r="BB62" s="17"/>
      <c r="BC62" s="17"/>
      <c r="BD62" s="52">
        <f>SUM(AX62:BC62)</f>
        <v>0</v>
      </c>
      <c r="BE62" s="171"/>
      <c r="BF62" s="51"/>
      <c r="BG62" s="16" t="s">
        <v>58</v>
      </c>
      <c r="BH62" s="51"/>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row>
    <row r="63" spans="1:173" ht="52">
      <c r="A63" s="21"/>
      <c r="B63" s="21"/>
      <c r="C63" s="32"/>
      <c r="D63" s="21"/>
      <c r="E63" s="69" t="s">
        <v>789</v>
      </c>
      <c r="F63" s="69" t="s">
        <v>788</v>
      </c>
      <c r="G63" s="69"/>
      <c r="H63" s="29">
        <v>45964</v>
      </c>
      <c r="I63" s="29"/>
      <c r="J63" s="29"/>
      <c r="K63" s="26"/>
      <c r="L63" s="47" t="s">
        <v>39</v>
      </c>
      <c r="M63" s="26" t="s">
        <v>38</v>
      </c>
      <c r="N63" s="25"/>
      <c r="O63" s="68" t="s">
        <v>69</v>
      </c>
      <c r="P63" s="23" t="s">
        <v>12</v>
      </c>
      <c r="Q63" s="23" t="s">
        <v>151</v>
      </c>
      <c r="R63" s="23"/>
      <c r="S63" s="23"/>
      <c r="T63" s="23"/>
      <c r="U63" s="23"/>
      <c r="V63" s="23"/>
      <c r="W63" s="23"/>
      <c r="X63" s="21" t="s">
        <v>5</v>
      </c>
      <c r="Y63" s="21"/>
      <c r="Z63" s="23"/>
      <c r="AA63" s="21">
        <v>4</v>
      </c>
      <c r="AB63" s="21">
        <v>5</v>
      </c>
      <c r="AC63" s="21">
        <v>3</v>
      </c>
      <c r="AD63" s="21">
        <v>5</v>
      </c>
      <c r="AE63" s="21">
        <v>3</v>
      </c>
      <c r="AF63" s="21">
        <v>3</v>
      </c>
      <c r="AG63" s="21">
        <v>3</v>
      </c>
      <c r="AH63" s="22">
        <f>(AA63*$AA$2)+(AB63*$AB$2)+(AC63*$AC$2)+(AD63*$AD$2)+(AE63*$AE$2)+(AF63*$AF$2)+(AG63*$AG$2)</f>
        <v>390</v>
      </c>
      <c r="AI63" s="22">
        <v>5</v>
      </c>
      <c r="AJ63" s="22">
        <v>5</v>
      </c>
      <c r="AK63" s="22">
        <v>1</v>
      </c>
      <c r="AL63" s="22">
        <v>4</v>
      </c>
      <c r="AM63" s="22">
        <v>4</v>
      </c>
      <c r="AN63" s="22">
        <v>4</v>
      </c>
      <c r="AO63" s="22">
        <v>3</v>
      </c>
      <c r="AP63" s="21">
        <f>(AI63*$AI$2)+(AJ63*$AJ$2)+(AK63*$AK$2)+(AL63*$AL$2)+(AM63*$AM$2)+(AN63*$AN$2)+(AO63*$AO$2)</f>
        <v>390</v>
      </c>
      <c r="AQ63" s="21">
        <f>AP63+AH63</f>
        <v>780</v>
      </c>
      <c r="AR63" s="20"/>
      <c r="AS63" s="20"/>
      <c r="AT63" s="18"/>
      <c r="AU63" s="17"/>
      <c r="AV63" s="17"/>
      <c r="AW63" s="17"/>
      <c r="AX63" s="17"/>
      <c r="AY63" s="17"/>
      <c r="AZ63" s="17"/>
      <c r="BA63" s="17"/>
      <c r="BB63" s="17"/>
      <c r="BC63" s="17"/>
      <c r="BD63" s="17"/>
      <c r="BE63" s="17"/>
      <c r="BF63" s="28"/>
      <c r="BG63" s="16" t="s">
        <v>0</v>
      </c>
      <c r="BH63" s="48"/>
    </row>
    <row r="64" spans="1:173" s="50" customFormat="1" ht="34.5" customHeight="1">
      <c r="A64" s="187"/>
      <c r="B64" s="21">
        <v>21</v>
      </c>
      <c r="C64" s="21"/>
      <c r="D64" s="21">
        <v>27154</v>
      </c>
      <c r="E64" s="69" t="s">
        <v>787</v>
      </c>
      <c r="F64" s="69" t="s">
        <v>786</v>
      </c>
      <c r="G64" s="69" t="s">
        <v>785</v>
      </c>
      <c r="H64" s="29" t="s">
        <v>107</v>
      </c>
      <c r="I64" s="73">
        <v>45658</v>
      </c>
      <c r="J64" s="73">
        <v>45992</v>
      </c>
      <c r="K64" s="17">
        <f ca="1">TODAY()-I64</f>
        <v>348</v>
      </c>
      <c r="L64" s="47" t="s">
        <v>14</v>
      </c>
      <c r="M64" s="26" t="s">
        <v>38</v>
      </c>
      <c r="N64" s="25"/>
      <c r="O64" s="23" t="s">
        <v>69</v>
      </c>
      <c r="P64" s="23" t="s">
        <v>33</v>
      </c>
      <c r="Q64" s="23" t="s">
        <v>57</v>
      </c>
      <c r="R64" s="23" t="s">
        <v>107</v>
      </c>
      <c r="S64" s="23" t="s">
        <v>109</v>
      </c>
      <c r="T64" s="23" t="s">
        <v>109</v>
      </c>
      <c r="U64" s="23"/>
      <c r="V64" s="23" t="s">
        <v>66</v>
      </c>
      <c r="W64" s="23"/>
      <c r="X64" s="21" t="s">
        <v>5</v>
      </c>
      <c r="Y64" s="21" t="s">
        <v>42</v>
      </c>
      <c r="Z64" s="23"/>
      <c r="AA64" s="22">
        <v>3</v>
      </c>
      <c r="AB64" s="22">
        <v>5</v>
      </c>
      <c r="AC64" s="22">
        <v>1</v>
      </c>
      <c r="AD64" s="22">
        <v>5</v>
      </c>
      <c r="AE64" s="22">
        <v>0</v>
      </c>
      <c r="AF64" s="22">
        <v>1</v>
      </c>
      <c r="AG64" s="22">
        <v>5</v>
      </c>
      <c r="AH64" s="22">
        <f>(AA64*$AA$2)+(AB64*$AB$2)+(AC64*$AC$2)+(AD64*$AD$2)+(AE64*$AE$2)+(AF64*$AF$2)+(AG64*$AG$2)</f>
        <v>300</v>
      </c>
      <c r="AI64" s="22">
        <v>4</v>
      </c>
      <c r="AJ64" s="22">
        <v>4</v>
      </c>
      <c r="AK64" s="22">
        <v>3</v>
      </c>
      <c r="AL64" s="22">
        <v>5</v>
      </c>
      <c r="AM64" s="22">
        <v>3</v>
      </c>
      <c r="AN64" s="22">
        <v>5</v>
      </c>
      <c r="AO64" s="22">
        <v>3</v>
      </c>
      <c r="AP64" s="21">
        <f>(AI64*$AI$2)+(AJ64*$AJ$2)+(AK64*$AK$2)+(AL64*$AL$2)+(AM64*$AM$2)+(AN64*$AN$2)+(AO64*$AO$2)</f>
        <v>405</v>
      </c>
      <c r="AQ64" s="21">
        <f>AP64+AH64</f>
        <v>705</v>
      </c>
      <c r="AR64" s="20" t="s">
        <v>784</v>
      </c>
      <c r="AS64" s="20" t="s">
        <v>783</v>
      </c>
      <c r="AT64" s="23"/>
      <c r="AU64" s="17"/>
      <c r="AV64" s="23" t="s">
        <v>374</v>
      </c>
      <c r="AW64" s="17"/>
      <c r="AX64" s="17"/>
      <c r="AY64" s="17"/>
      <c r="AZ64" s="17"/>
      <c r="BA64" s="17"/>
      <c r="BB64" s="17"/>
      <c r="BC64" s="17"/>
      <c r="BD64" s="52">
        <f>SUM(AX64:BC64)</f>
        <v>0</v>
      </c>
      <c r="BE64" s="17"/>
      <c r="BF64" s="17"/>
      <c r="BG64" s="16" t="s">
        <v>782</v>
      </c>
      <c r="BH64" s="106" t="s">
        <v>781</v>
      </c>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row>
    <row r="65" spans="1:173" ht="39">
      <c r="A65" s="21"/>
      <c r="B65" s="21">
        <v>92</v>
      </c>
      <c r="C65" s="21"/>
      <c r="D65" s="21"/>
      <c r="E65" s="69" t="s">
        <v>780</v>
      </c>
      <c r="F65" s="69" t="s">
        <v>779</v>
      </c>
      <c r="G65" s="69"/>
      <c r="H65" s="29">
        <v>45748</v>
      </c>
      <c r="I65" s="73">
        <v>45748</v>
      </c>
      <c r="J65" s="73">
        <v>45800</v>
      </c>
      <c r="K65" s="130">
        <f>J65-I65</f>
        <v>52</v>
      </c>
      <c r="L65" s="61" t="s">
        <v>14</v>
      </c>
      <c r="M65" s="67" t="s">
        <v>60</v>
      </c>
      <c r="N65" s="25"/>
      <c r="O65" s="23" t="s">
        <v>13</v>
      </c>
      <c r="P65" s="23" t="s">
        <v>58</v>
      </c>
      <c r="Q65" s="21"/>
      <c r="R65" s="102" t="s">
        <v>163</v>
      </c>
      <c r="S65" s="23" t="s">
        <v>37</v>
      </c>
      <c r="T65" s="134" t="s">
        <v>37</v>
      </c>
      <c r="U65" s="143"/>
      <c r="V65" s="23" t="s">
        <v>66</v>
      </c>
      <c r="W65" s="143" t="s">
        <v>27</v>
      </c>
      <c r="X65" s="21" t="s">
        <v>5</v>
      </c>
      <c r="Y65" s="23" t="s">
        <v>126</v>
      </c>
      <c r="Z65" s="22" t="s">
        <v>18</v>
      </c>
      <c r="AA65" s="23">
        <v>3</v>
      </c>
      <c r="AB65" s="23">
        <v>5</v>
      </c>
      <c r="AC65" s="23">
        <v>1</v>
      </c>
      <c r="AD65" s="23">
        <v>5</v>
      </c>
      <c r="AE65" s="23">
        <v>0</v>
      </c>
      <c r="AF65" s="23">
        <v>1</v>
      </c>
      <c r="AG65" s="23">
        <v>3</v>
      </c>
      <c r="AH65" s="22">
        <f>(AA65*$AA$2)+(AB65*$AB$2)+(AC65*$AC$2)+(AD65*$AD$2)+(AE65*$AE$2)+(AF65*$AF$2)+(AG65*$AG$2)</f>
        <v>270</v>
      </c>
      <c r="AI65" s="21">
        <v>5</v>
      </c>
      <c r="AJ65" s="21">
        <v>5</v>
      </c>
      <c r="AK65" s="21">
        <v>3</v>
      </c>
      <c r="AL65" s="21">
        <v>3</v>
      </c>
      <c r="AM65" s="21">
        <v>5</v>
      </c>
      <c r="AN65" s="21">
        <v>3</v>
      </c>
      <c r="AO65" s="21">
        <v>5</v>
      </c>
      <c r="AP65" s="21">
        <f>(AI65*$AI$2)+(AJ65*$AJ$2)+(AK65*$AK$2)+(AL65*$AL$2)+(AM65*$AM$2)+(AN65*$AN$2)+(AO65*$AO$2)</f>
        <v>435</v>
      </c>
      <c r="AQ65" s="21">
        <f>AP65+AH65</f>
        <v>705</v>
      </c>
      <c r="AR65" s="186" t="s">
        <v>778</v>
      </c>
      <c r="AS65" s="20"/>
      <c r="AT65" s="52" t="s">
        <v>166</v>
      </c>
      <c r="AU65" s="102"/>
      <c r="AV65" s="102" t="s">
        <v>54</v>
      </c>
      <c r="AW65" s="102"/>
      <c r="AX65" s="102"/>
      <c r="AY65" s="102"/>
      <c r="AZ65" s="102"/>
      <c r="BA65" s="102"/>
      <c r="BB65" s="102"/>
      <c r="BC65" s="102"/>
      <c r="BD65" s="52">
        <f>SUM(AX65:BC65)</f>
        <v>0</v>
      </c>
      <c r="BE65" s="102"/>
      <c r="BF65" s="185"/>
      <c r="BG65" s="16" t="s">
        <v>58</v>
      </c>
      <c r="BH65" s="48"/>
    </row>
    <row r="66" spans="1:173" ht="65">
      <c r="A66" s="21"/>
      <c r="B66" s="21">
        <v>1</v>
      </c>
      <c r="C66" s="16"/>
      <c r="D66" s="173"/>
      <c r="E66" s="69" t="s">
        <v>777</v>
      </c>
      <c r="F66" s="69" t="s">
        <v>776</v>
      </c>
      <c r="G66" s="69" t="s">
        <v>775</v>
      </c>
      <c r="H66" s="29">
        <v>45800</v>
      </c>
      <c r="I66" s="73">
        <v>45845</v>
      </c>
      <c r="J66" s="73">
        <v>45897</v>
      </c>
      <c r="K66" s="184">
        <f>J66-I66</f>
        <v>52</v>
      </c>
      <c r="L66" s="72" t="s">
        <v>14</v>
      </c>
      <c r="M66" s="16" t="s">
        <v>772</v>
      </c>
      <c r="N66" s="25" t="s">
        <v>59</v>
      </c>
      <c r="O66" s="23" t="s">
        <v>32</v>
      </c>
      <c r="P66" s="23" t="s">
        <v>58</v>
      </c>
      <c r="Q66" s="171" t="s">
        <v>57</v>
      </c>
      <c r="R66" s="23" t="s">
        <v>170</v>
      </c>
      <c r="S66" s="23" t="s">
        <v>774</v>
      </c>
      <c r="T66" s="23" t="s">
        <v>773</v>
      </c>
      <c r="U66" s="170" t="s">
        <v>8</v>
      </c>
      <c r="V66" s="23" t="s">
        <v>56</v>
      </c>
      <c r="W66" s="23" t="s">
        <v>6</v>
      </c>
      <c r="X66" s="21" t="s">
        <v>5</v>
      </c>
      <c r="Y66" s="21" t="s">
        <v>4</v>
      </c>
      <c r="Z66" s="88" t="s">
        <v>772</v>
      </c>
      <c r="AA66" s="21">
        <v>5</v>
      </c>
      <c r="AB66" s="21">
        <v>5</v>
      </c>
      <c r="AC66" s="21">
        <v>1</v>
      </c>
      <c r="AD66" s="21">
        <v>5</v>
      </c>
      <c r="AE66" s="21">
        <v>1</v>
      </c>
      <c r="AF66" s="21">
        <v>3</v>
      </c>
      <c r="AG66" s="21">
        <v>5</v>
      </c>
      <c r="AH66" s="22">
        <f>(AA66*$AA$2)+(AB66*$AB$2)+(AC66*$AC$2)+(AD66*$AD$2)+(AE66*$AE$2)+(AF66*$AF$2)+(AG66*$AG$2)</f>
        <v>375</v>
      </c>
      <c r="AI66" s="21">
        <v>5</v>
      </c>
      <c r="AJ66" s="21">
        <v>5</v>
      </c>
      <c r="AK66" s="21">
        <v>5</v>
      </c>
      <c r="AL66" s="21">
        <v>3</v>
      </c>
      <c r="AM66" s="21">
        <v>5</v>
      </c>
      <c r="AN66" s="21">
        <v>5</v>
      </c>
      <c r="AO66" s="21">
        <v>5</v>
      </c>
      <c r="AP66" s="21">
        <f>(AI66*$AI$2)+(AJ66*$AJ$2)+(AK66*$AK$2)+(AL66*$AL$2)+(AM66*$AM$2)+(AN66*$AN$2)+(AO66*$AO$2)</f>
        <v>495</v>
      </c>
      <c r="AQ66" s="21">
        <f>AP66+AH66</f>
        <v>870</v>
      </c>
      <c r="AR66" s="80" t="s">
        <v>771</v>
      </c>
      <c r="AS66" s="153"/>
      <c r="AT66" s="17" t="s">
        <v>166</v>
      </c>
      <c r="AU66" s="169"/>
      <c r="AV66" s="23" t="s">
        <v>54</v>
      </c>
      <c r="AW66" s="17"/>
      <c r="AX66" s="17"/>
      <c r="AY66" s="17"/>
      <c r="AZ66" s="17"/>
      <c r="BA66" s="17"/>
      <c r="BB66" s="17"/>
      <c r="BC66" s="17"/>
      <c r="BD66" s="52">
        <f>SUM(AX66:BC66)</f>
        <v>0</v>
      </c>
      <c r="BE66" s="169"/>
      <c r="BF66" s="16"/>
      <c r="BG66" s="16" t="s">
        <v>58</v>
      </c>
      <c r="BH66" s="51"/>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c r="CR66" s="50"/>
      <c r="CS66" s="50"/>
      <c r="CT66" s="50"/>
      <c r="CU66" s="50"/>
      <c r="CV66" s="50"/>
      <c r="CW66" s="50"/>
      <c r="CX66" s="50"/>
      <c r="CY66" s="50"/>
      <c r="CZ66" s="50"/>
      <c r="DA66" s="50"/>
      <c r="DB66" s="50"/>
      <c r="DC66" s="50"/>
      <c r="DD66" s="50"/>
      <c r="DE66" s="50"/>
      <c r="DF66" s="50"/>
      <c r="DG66" s="50"/>
      <c r="DH66" s="50"/>
      <c r="DI66" s="50"/>
      <c r="DJ66" s="50"/>
      <c r="DK66" s="50"/>
      <c r="DL66" s="50"/>
      <c r="DM66" s="50"/>
      <c r="DN66" s="50"/>
      <c r="DO66" s="50"/>
      <c r="DP66" s="50"/>
      <c r="DQ66" s="50"/>
      <c r="DR66" s="50"/>
      <c r="DS66" s="50"/>
      <c r="DT66" s="50"/>
      <c r="DU66" s="50"/>
      <c r="DV66" s="50"/>
      <c r="DW66" s="50"/>
      <c r="DX66" s="50"/>
      <c r="DY66" s="50"/>
      <c r="DZ66" s="50"/>
      <c r="EA66" s="50"/>
      <c r="EB66" s="50"/>
      <c r="EC66" s="50"/>
      <c r="ED66" s="50"/>
      <c r="EE66" s="50"/>
      <c r="EF66" s="50"/>
      <c r="EG66" s="50"/>
      <c r="EH66" s="50"/>
      <c r="EI66" s="50"/>
      <c r="EJ66" s="50"/>
      <c r="EK66" s="50"/>
      <c r="EL66" s="50"/>
      <c r="EM66" s="50"/>
      <c r="EN66" s="50"/>
      <c r="EO66" s="50"/>
      <c r="EP66" s="50"/>
      <c r="EQ66" s="50"/>
      <c r="ER66" s="50"/>
      <c r="ES66" s="50"/>
      <c r="ET66" s="50"/>
      <c r="EU66" s="50"/>
      <c r="EV66" s="50"/>
      <c r="EW66" s="50"/>
      <c r="EX66" s="50"/>
      <c r="EY66" s="50"/>
      <c r="EZ66" s="50"/>
      <c r="FA66" s="50"/>
      <c r="FB66" s="50"/>
      <c r="FC66" s="50"/>
      <c r="FD66" s="50"/>
      <c r="FE66" s="50"/>
      <c r="FF66" s="50"/>
      <c r="FG66" s="50"/>
      <c r="FH66" s="50"/>
      <c r="FI66" s="50"/>
      <c r="FJ66" s="50"/>
      <c r="FK66" s="50"/>
      <c r="FL66" s="50"/>
      <c r="FM66" s="50"/>
      <c r="FN66" s="50"/>
      <c r="FO66" s="50"/>
      <c r="FP66" s="50"/>
      <c r="FQ66" s="50"/>
    </row>
    <row r="67" spans="1:173" s="50" customFormat="1" ht="46" customHeight="1">
      <c r="A67" s="21"/>
      <c r="B67" s="21">
        <v>1</v>
      </c>
      <c r="C67" s="21"/>
      <c r="D67" s="21"/>
      <c r="E67" s="69" t="s">
        <v>770</v>
      </c>
      <c r="F67" s="69" t="s">
        <v>769</v>
      </c>
      <c r="G67" s="69"/>
      <c r="H67" s="29">
        <v>45602</v>
      </c>
      <c r="I67" s="73">
        <v>45659</v>
      </c>
      <c r="J67" s="73">
        <v>45839</v>
      </c>
      <c r="K67" s="54">
        <f>J67-I67</f>
        <v>180</v>
      </c>
      <c r="L67" s="47" t="s">
        <v>14</v>
      </c>
      <c r="M67" s="26" t="s">
        <v>38</v>
      </c>
      <c r="N67" s="26" t="s">
        <v>731</v>
      </c>
      <c r="O67" s="23" t="s">
        <v>50</v>
      </c>
      <c r="P67" s="23" t="s">
        <v>58</v>
      </c>
      <c r="Q67" s="23" t="s">
        <v>93</v>
      </c>
      <c r="R67" s="23" t="s">
        <v>126</v>
      </c>
      <c r="S67" s="23" t="s">
        <v>128</v>
      </c>
      <c r="T67" s="23" t="s">
        <v>483</v>
      </c>
      <c r="U67" s="23" t="s">
        <v>177</v>
      </c>
      <c r="V67" s="23" t="s">
        <v>66</v>
      </c>
      <c r="W67" s="22" t="s">
        <v>202</v>
      </c>
      <c r="X67" s="21" t="s">
        <v>5</v>
      </c>
      <c r="Y67" s="21" t="s">
        <v>126</v>
      </c>
      <c r="Z67" s="22" t="s">
        <v>18</v>
      </c>
      <c r="AA67" s="22">
        <v>3</v>
      </c>
      <c r="AB67" s="22">
        <v>5</v>
      </c>
      <c r="AC67" s="22">
        <v>2</v>
      </c>
      <c r="AD67" s="22">
        <v>5</v>
      </c>
      <c r="AE67" s="22">
        <v>1</v>
      </c>
      <c r="AF67" s="22">
        <v>5</v>
      </c>
      <c r="AG67" s="22">
        <v>3</v>
      </c>
      <c r="AH67" s="22">
        <f>(AA67*$AA$2)+(AB67*$AB$2)+(AC67*$AC$2)+(AD67*$AD$2)+(AE67*$AE$2)+(AF67*$AF$2)+(AG67*$AG$2)</f>
        <v>360</v>
      </c>
      <c r="AI67" s="22">
        <v>5</v>
      </c>
      <c r="AJ67" s="22">
        <v>5</v>
      </c>
      <c r="AK67" s="22">
        <v>3</v>
      </c>
      <c r="AL67" s="22">
        <v>3</v>
      </c>
      <c r="AM67" s="22">
        <v>5</v>
      </c>
      <c r="AN67" s="22">
        <v>5</v>
      </c>
      <c r="AO67" s="22">
        <v>5</v>
      </c>
      <c r="AP67" s="21">
        <f>(AI67*$AI$2)+(AJ67*$AJ$2)+(AK67*$AK$2)+(AL67*$AL$2)+(AM67*$AM$2)+(AN67*$AN$2)+(AO67*$AO$2)</f>
        <v>465</v>
      </c>
      <c r="AQ67" s="21">
        <f>AP67+AH67</f>
        <v>825</v>
      </c>
      <c r="AR67" s="87" t="s">
        <v>768</v>
      </c>
      <c r="AS67" s="20" t="s">
        <v>576</v>
      </c>
      <c r="AT67" s="23" t="s">
        <v>767</v>
      </c>
      <c r="AU67" s="17"/>
      <c r="AV67" s="17" t="s">
        <v>374</v>
      </c>
      <c r="AW67" s="17"/>
      <c r="AX67" s="17"/>
      <c r="AY67" s="17"/>
      <c r="AZ67" s="17"/>
      <c r="BA67" s="17"/>
      <c r="BB67" s="17"/>
      <c r="BC67" s="17"/>
      <c r="BD67" s="52">
        <f>SUM(AX67:BC67)</f>
        <v>0</v>
      </c>
      <c r="BE67" s="17"/>
      <c r="BF67" s="28"/>
      <c r="BG67" s="16" t="s">
        <v>58</v>
      </c>
      <c r="BH67" s="101"/>
    </row>
    <row r="68" spans="1:173" s="114" customFormat="1" ht="50" customHeight="1">
      <c r="A68" s="21"/>
      <c r="B68" s="21">
        <v>3</v>
      </c>
      <c r="C68" s="21" t="s">
        <v>766</v>
      </c>
      <c r="D68" s="21"/>
      <c r="E68" s="69" t="s">
        <v>765</v>
      </c>
      <c r="F68" s="69" t="s">
        <v>764</v>
      </c>
      <c r="G68" s="69" t="s">
        <v>763</v>
      </c>
      <c r="H68" s="73">
        <v>45726</v>
      </c>
      <c r="I68" s="73">
        <v>45726</v>
      </c>
      <c r="J68" s="73">
        <v>45777</v>
      </c>
      <c r="K68" s="98">
        <f>J68-I68</f>
        <v>51</v>
      </c>
      <c r="L68" s="99" t="s">
        <v>14</v>
      </c>
      <c r="M68" s="26" t="s">
        <v>38</v>
      </c>
      <c r="N68" s="25" t="s">
        <v>59</v>
      </c>
      <c r="O68" s="23" t="s">
        <v>32</v>
      </c>
      <c r="P68" s="23" t="s">
        <v>58</v>
      </c>
      <c r="Q68" s="23" t="s">
        <v>762</v>
      </c>
      <c r="R68" s="23" t="s">
        <v>439</v>
      </c>
      <c r="S68" s="23" t="s">
        <v>128</v>
      </c>
      <c r="T68" s="23" t="s">
        <v>761</v>
      </c>
      <c r="U68" s="23" t="s">
        <v>508</v>
      </c>
      <c r="V68" s="23" t="s">
        <v>66</v>
      </c>
      <c r="W68" s="23" t="s">
        <v>481</v>
      </c>
      <c r="X68" s="21" t="s">
        <v>5</v>
      </c>
      <c r="Y68" s="21" t="s">
        <v>4</v>
      </c>
      <c r="Z68" s="23" t="s">
        <v>18</v>
      </c>
      <c r="AA68" s="21">
        <v>3</v>
      </c>
      <c r="AB68" s="21">
        <v>5</v>
      </c>
      <c r="AC68" s="21">
        <v>2</v>
      </c>
      <c r="AD68" s="21">
        <v>5</v>
      </c>
      <c r="AE68" s="16">
        <v>3</v>
      </c>
      <c r="AF68" s="21">
        <v>3</v>
      </c>
      <c r="AG68" s="21">
        <v>5</v>
      </c>
      <c r="AH68" s="22">
        <f>(AA68*$AA$2)+(AB68*$AB$2)+(AC68*$AC$2)+(AD68*$AD$2)+(AE68*$AE$2)+(AF68*$AF$2)+(AG68*$AG$2)</f>
        <v>390</v>
      </c>
      <c r="AI68" s="21">
        <v>5</v>
      </c>
      <c r="AJ68" s="21">
        <v>5</v>
      </c>
      <c r="AK68" s="21">
        <v>4</v>
      </c>
      <c r="AL68" s="21">
        <v>5</v>
      </c>
      <c r="AM68" s="21">
        <v>5</v>
      </c>
      <c r="AN68" s="21">
        <v>5</v>
      </c>
      <c r="AO68" s="21">
        <v>5</v>
      </c>
      <c r="AP68" s="21">
        <f>(AI68*$AI$2)+(AJ68*$AJ$2)+(AK68*$AK$2)+(AL68*$AL$2)+(AM68*$AM$2)+(AN68*$AN$2)+(AO68*$AO$2)</f>
        <v>510</v>
      </c>
      <c r="AQ68" s="21">
        <f>AP68+AH68</f>
        <v>900</v>
      </c>
      <c r="AR68" s="106" t="s">
        <v>760</v>
      </c>
      <c r="AS68" s="20" t="s">
        <v>759</v>
      </c>
      <c r="AT68" s="183">
        <v>100000</v>
      </c>
      <c r="AU68" s="21"/>
      <c r="AV68" s="23" t="s">
        <v>374</v>
      </c>
      <c r="AW68" s="23"/>
      <c r="AX68" s="23">
        <v>0</v>
      </c>
      <c r="AY68" s="23">
        <v>0</v>
      </c>
      <c r="AZ68" s="23">
        <v>0</v>
      </c>
      <c r="BA68" s="23">
        <v>0</v>
      </c>
      <c r="BB68" s="23">
        <v>0</v>
      </c>
      <c r="BC68" s="23"/>
      <c r="BD68" s="52">
        <f>SUM(AX68:BC68)</f>
        <v>0</v>
      </c>
      <c r="BE68" s="131">
        <v>45870</v>
      </c>
      <c r="BF68" s="131">
        <v>46204</v>
      </c>
      <c r="BG68" s="16" t="s">
        <v>58</v>
      </c>
      <c r="BH68" s="51"/>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c r="CO68" s="50"/>
      <c r="CP68" s="50"/>
      <c r="CQ68" s="50"/>
      <c r="CR68" s="50"/>
      <c r="CS68" s="50"/>
      <c r="CT68" s="50"/>
      <c r="CU68" s="50"/>
      <c r="CV68" s="50"/>
      <c r="CW68" s="50"/>
      <c r="CX68" s="50"/>
      <c r="CY68" s="50"/>
      <c r="CZ68" s="50"/>
      <c r="DA68" s="50"/>
      <c r="DB68" s="50"/>
      <c r="DC68" s="50"/>
      <c r="DD68" s="50"/>
      <c r="DE68" s="50"/>
      <c r="DF68" s="50"/>
      <c r="DG68" s="50"/>
      <c r="DH68" s="50"/>
      <c r="DI68" s="50"/>
      <c r="DJ68" s="50"/>
      <c r="DK68" s="50"/>
      <c r="DL68" s="50"/>
      <c r="DM68" s="50"/>
      <c r="DN68" s="50"/>
      <c r="DO68" s="50"/>
      <c r="DP68" s="50"/>
      <c r="DQ68" s="50"/>
      <c r="DR68" s="50"/>
      <c r="DS68" s="50"/>
      <c r="DT68" s="50"/>
      <c r="DU68" s="50"/>
      <c r="DV68" s="50"/>
      <c r="DW68" s="50"/>
      <c r="DX68" s="50"/>
      <c r="DY68" s="50"/>
      <c r="DZ68" s="50"/>
      <c r="EA68" s="50"/>
      <c r="EB68" s="50"/>
      <c r="EC68" s="50"/>
      <c r="ED68" s="50"/>
      <c r="EE68" s="50"/>
      <c r="EF68" s="50"/>
      <c r="EG68" s="50"/>
      <c r="EH68" s="50"/>
      <c r="EI68" s="50"/>
      <c r="EJ68" s="50"/>
      <c r="EK68" s="50"/>
      <c r="EL68" s="50"/>
      <c r="EM68" s="50"/>
      <c r="EN68" s="50"/>
      <c r="EO68" s="50"/>
      <c r="EP68" s="50"/>
      <c r="EQ68" s="50"/>
      <c r="ER68" s="50"/>
      <c r="ES68" s="50"/>
      <c r="ET68" s="50"/>
      <c r="EU68" s="50"/>
      <c r="EV68" s="50"/>
      <c r="EW68" s="50"/>
      <c r="EX68" s="50"/>
      <c r="EY68" s="50"/>
      <c r="EZ68" s="50"/>
      <c r="FA68" s="50"/>
      <c r="FB68" s="50"/>
      <c r="FC68" s="50"/>
      <c r="FD68" s="50"/>
      <c r="FE68" s="50"/>
      <c r="FF68" s="50"/>
      <c r="FG68" s="50"/>
      <c r="FH68" s="50"/>
      <c r="FI68" s="50"/>
      <c r="FJ68" s="50"/>
      <c r="FK68" s="50"/>
      <c r="FL68" s="50"/>
      <c r="FM68" s="50"/>
      <c r="FN68" s="50"/>
      <c r="FO68" s="50"/>
      <c r="FP68" s="50"/>
      <c r="FQ68" s="50"/>
    </row>
    <row r="69" spans="1:173" ht="50" customHeight="1">
      <c r="A69" s="21"/>
      <c r="B69" s="21"/>
      <c r="C69" s="32"/>
      <c r="D69" s="21"/>
      <c r="E69" s="69" t="s">
        <v>758</v>
      </c>
      <c r="F69" s="69" t="s">
        <v>757</v>
      </c>
      <c r="G69" s="69"/>
      <c r="H69" s="29">
        <v>45964</v>
      </c>
      <c r="I69" s="29"/>
      <c r="J69" s="29"/>
      <c r="K69" s="76"/>
      <c r="L69" s="61" t="s">
        <v>39</v>
      </c>
      <c r="M69" s="26" t="s">
        <v>38</v>
      </c>
      <c r="N69" s="25"/>
      <c r="O69" s="23" t="s">
        <v>13</v>
      </c>
      <c r="P69" s="23" t="s">
        <v>12</v>
      </c>
      <c r="Q69" s="23"/>
      <c r="R69" s="23"/>
      <c r="S69" s="23" t="s">
        <v>37</v>
      </c>
      <c r="T69" s="23"/>
      <c r="U69" s="23"/>
      <c r="V69" s="23" t="s">
        <v>28</v>
      </c>
      <c r="W69" s="23"/>
      <c r="X69" s="21" t="s">
        <v>5</v>
      </c>
      <c r="Y69" s="21"/>
      <c r="Z69" s="67" t="s">
        <v>18</v>
      </c>
      <c r="AA69" s="22">
        <v>5</v>
      </c>
      <c r="AB69" s="22">
        <v>5</v>
      </c>
      <c r="AC69" s="22">
        <v>3</v>
      </c>
      <c r="AD69" s="22">
        <v>5</v>
      </c>
      <c r="AE69" s="22">
        <v>1</v>
      </c>
      <c r="AF69" s="22">
        <v>1</v>
      </c>
      <c r="AG69" s="22">
        <v>3</v>
      </c>
      <c r="AH69" s="22">
        <f>(AA69*$AA$2)+(AB69*$AB$2)+(AC69*$AC$2)+(AD69*$AD$2)+(AE69*$AE$2)+(AF69*$AF$2)+(AG69*$AG$2)</f>
        <v>345</v>
      </c>
      <c r="AI69" s="22">
        <v>5</v>
      </c>
      <c r="AJ69" s="22">
        <v>5</v>
      </c>
      <c r="AK69" s="22">
        <v>2</v>
      </c>
      <c r="AL69" s="22">
        <v>3</v>
      </c>
      <c r="AM69" s="22">
        <v>3</v>
      </c>
      <c r="AN69" s="22">
        <v>5</v>
      </c>
      <c r="AO69" s="22">
        <v>5</v>
      </c>
      <c r="AP69" s="21">
        <f>(AI69*$AI$2)+(AJ69*$AJ$2)+(AK69*$AK$2)+(AL69*$AL$2)+(AM69*$AM$2)+(AN69*$AN$2)+(AO69*$AO$2)</f>
        <v>420</v>
      </c>
      <c r="AQ69" s="21">
        <f>AP69+AH69</f>
        <v>765</v>
      </c>
      <c r="AR69" s="20"/>
      <c r="AS69" s="20"/>
      <c r="AT69" s="18"/>
      <c r="AU69" s="17"/>
      <c r="AV69" s="17"/>
      <c r="AW69" s="17"/>
      <c r="AX69" s="17"/>
      <c r="AY69" s="17"/>
      <c r="AZ69" s="17"/>
      <c r="BA69" s="17"/>
      <c r="BB69" s="17"/>
      <c r="BC69" s="17"/>
      <c r="BD69" s="17"/>
      <c r="BE69" s="17"/>
      <c r="BF69" s="17"/>
      <c r="BG69" s="16"/>
      <c r="BH69" s="48"/>
    </row>
    <row r="70" spans="1:173" s="109" customFormat="1" ht="100" customHeight="1">
      <c r="A70" s="21"/>
      <c r="B70" s="21">
        <v>119</v>
      </c>
      <c r="C70" s="21"/>
      <c r="D70" s="21"/>
      <c r="E70" s="69" t="s">
        <v>756</v>
      </c>
      <c r="F70" s="69"/>
      <c r="G70" s="69" t="s">
        <v>755</v>
      </c>
      <c r="H70" s="29">
        <v>45870</v>
      </c>
      <c r="I70" s="29"/>
      <c r="J70" s="54"/>
      <c r="K70" s="54"/>
      <c r="L70" s="47" t="s">
        <v>39</v>
      </c>
      <c r="M70" s="26" t="s">
        <v>6</v>
      </c>
      <c r="N70" s="26"/>
      <c r="O70" s="23" t="s">
        <v>69</v>
      </c>
      <c r="P70" s="23" t="s">
        <v>12</v>
      </c>
      <c r="Q70" s="23" t="s">
        <v>11</v>
      </c>
      <c r="R70" s="23"/>
      <c r="S70" s="23" t="s">
        <v>132</v>
      </c>
      <c r="T70" s="23" t="s">
        <v>266</v>
      </c>
      <c r="U70" s="23" t="s">
        <v>107</v>
      </c>
      <c r="V70" s="23" t="s">
        <v>7</v>
      </c>
      <c r="W70" s="22" t="s">
        <v>138</v>
      </c>
      <c r="X70" s="21" t="s">
        <v>5</v>
      </c>
      <c r="Y70" s="23" t="s">
        <v>126</v>
      </c>
      <c r="Z70" s="22" t="s">
        <v>3</v>
      </c>
      <c r="AA70" s="22">
        <v>5</v>
      </c>
      <c r="AB70" s="22">
        <v>5</v>
      </c>
      <c r="AC70" s="22">
        <v>1</v>
      </c>
      <c r="AD70" s="22">
        <v>5</v>
      </c>
      <c r="AE70" s="22">
        <v>3</v>
      </c>
      <c r="AF70" s="22">
        <v>3</v>
      </c>
      <c r="AG70" s="22">
        <v>3</v>
      </c>
      <c r="AH70" s="22">
        <f>(AA70*$AA$2)+(AB70*$AB$2)+(AC70*$AC$2)+(AD70*$AD$2)+(AE70*$AE$2)+(AF70*$AF$2)+(AG70*$AG$2)</f>
        <v>375</v>
      </c>
      <c r="AI70" s="22">
        <v>5</v>
      </c>
      <c r="AJ70" s="22">
        <v>5</v>
      </c>
      <c r="AK70" s="22">
        <v>2</v>
      </c>
      <c r="AL70" s="22">
        <v>3</v>
      </c>
      <c r="AM70" s="22">
        <v>4</v>
      </c>
      <c r="AN70" s="22">
        <v>3</v>
      </c>
      <c r="AO70" s="22">
        <v>4</v>
      </c>
      <c r="AP70" s="21">
        <f>(AI70*$AI$2)+(AJ70*$AJ$2)+(AK70*$AK$2)+(AL70*$AL$2)+(AM70*$AM$2)+(AN70*$AN$2)+(AO70*$AO$2)</f>
        <v>390</v>
      </c>
      <c r="AQ70" s="21">
        <f>AP70+AH70</f>
        <v>765</v>
      </c>
      <c r="AR70" s="20" t="s">
        <v>754</v>
      </c>
      <c r="AS70" s="20" t="s">
        <v>753</v>
      </c>
      <c r="AT70" s="18"/>
      <c r="AU70" s="17"/>
      <c r="AV70" s="17"/>
      <c r="AW70" s="17"/>
      <c r="AX70" s="17"/>
      <c r="AY70" s="17"/>
      <c r="AZ70" s="17"/>
      <c r="BA70" s="17"/>
      <c r="BB70" s="17"/>
      <c r="BC70" s="17"/>
      <c r="BD70" s="52">
        <f>SUM(AX70:BC70)</f>
        <v>0</v>
      </c>
      <c r="BE70" s="17"/>
      <c r="BF70" s="17"/>
      <c r="BG70" s="16" t="s">
        <v>0</v>
      </c>
      <c r="BH70" s="101"/>
      <c r="BI70" s="1"/>
      <c r="BJ70" s="1"/>
      <c r="BK70" s="111"/>
      <c r="BL70" s="111"/>
      <c r="BM70" s="111"/>
      <c r="BN70" s="111"/>
      <c r="BO70" s="111"/>
      <c r="BP70" s="111"/>
      <c r="BQ70" s="111"/>
      <c r="BR70" s="111"/>
      <c r="BS70" s="111"/>
      <c r="BT70" s="111"/>
      <c r="BU70" s="111"/>
      <c r="BV70" s="111"/>
      <c r="BW70" s="111"/>
      <c r="BX70" s="111"/>
      <c r="BY70" s="111"/>
      <c r="BZ70" s="111"/>
      <c r="CA70" s="111"/>
      <c r="CB70" s="111"/>
      <c r="CC70" s="111"/>
      <c r="CD70" s="111"/>
      <c r="CE70" s="111"/>
      <c r="CF70" s="111"/>
      <c r="CG70" s="111"/>
      <c r="CH70" s="111"/>
      <c r="CI70" s="111"/>
      <c r="CJ70" s="111"/>
      <c r="CK70" s="111"/>
      <c r="CL70" s="111"/>
      <c r="CM70" s="111"/>
      <c r="CN70" s="111"/>
      <c r="CO70" s="111"/>
      <c r="CP70" s="111"/>
      <c r="CQ70" s="111"/>
      <c r="CR70" s="111"/>
      <c r="CS70" s="111"/>
      <c r="CT70" s="111"/>
      <c r="CU70" s="111"/>
      <c r="CV70" s="111"/>
      <c r="CW70" s="111"/>
      <c r="CX70" s="111"/>
      <c r="CY70" s="111"/>
      <c r="CZ70" s="111"/>
      <c r="DA70" s="111"/>
      <c r="DB70" s="111"/>
      <c r="DC70" s="111"/>
      <c r="DD70" s="111"/>
      <c r="DE70" s="111"/>
      <c r="DF70" s="111"/>
      <c r="DG70" s="111"/>
      <c r="DH70" s="111"/>
      <c r="DI70" s="111"/>
      <c r="DJ70" s="111"/>
      <c r="DK70" s="111"/>
      <c r="DL70" s="111"/>
      <c r="DM70" s="111"/>
      <c r="DN70" s="111"/>
      <c r="DO70" s="111"/>
      <c r="DP70" s="111"/>
      <c r="DQ70" s="111"/>
      <c r="DR70" s="111"/>
      <c r="DS70" s="111"/>
      <c r="DT70" s="111"/>
      <c r="DU70" s="111"/>
      <c r="DV70" s="111"/>
      <c r="DW70" s="111"/>
      <c r="DX70" s="111"/>
      <c r="DY70" s="111"/>
      <c r="DZ70" s="111"/>
      <c r="EA70" s="111"/>
      <c r="EB70" s="111"/>
      <c r="EC70" s="111"/>
      <c r="ED70" s="111"/>
      <c r="EE70" s="111"/>
      <c r="EF70" s="111"/>
      <c r="EG70" s="111"/>
      <c r="EH70" s="111"/>
      <c r="EI70" s="111"/>
      <c r="EJ70" s="111"/>
      <c r="EK70" s="111"/>
      <c r="EL70" s="111"/>
      <c r="EM70" s="111"/>
      <c r="EN70" s="111"/>
      <c r="EO70" s="111"/>
      <c r="EP70" s="111"/>
      <c r="EQ70" s="111"/>
      <c r="ER70" s="111"/>
      <c r="ES70" s="111"/>
      <c r="ET70" s="111"/>
      <c r="EU70" s="111"/>
      <c r="EV70" s="111"/>
      <c r="EW70" s="111"/>
      <c r="EX70" s="111"/>
      <c r="EY70" s="111"/>
      <c r="EZ70" s="111"/>
      <c r="FA70" s="111"/>
      <c r="FB70" s="111"/>
      <c r="FC70" s="111"/>
      <c r="FD70" s="111"/>
      <c r="FE70" s="111"/>
      <c r="FF70" s="111"/>
      <c r="FG70" s="111"/>
      <c r="FH70" s="111"/>
      <c r="FI70" s="111"/>
      <c r="FJ70" s="111"/>
      <c r="FK70" s="111"/>
      <c r="FL70" s="111"/>
      <c r="FM70" s="111"/>
      <c r="FN70" s="111"/>
      <c r="FO70" s="111"/>
      <c r="FP70" s="111"/>
      <c r="FQ70" s="111"/>
    </row>
    <row r="71" spans="1:173" s="50" customFormat="1" ht="115" customHeight="1">
      <c r="A71" s="21"/>
      <c r="B71" s="21">
        <v>1</v>
      </c>
      <c r="C71" s="21"/>
      <c r="D71" s="21"/>
      <c r="E71" s="69" t="s">
        <v>752</v>
      </c>
      <c r="F71" s="69" t="s">
        <v>751</v>
      </c>
      <c r="G71" s="69"/>
      <c r="H71" s="29">
        <v>45658</v>
      </c>
      <c r="I71" s="73">
        <v>45729</v>
      </c>
      <c r="J71" s="73">
        <v>45777</v>
      </c>
      <c r="K71" s="54">
        <f>J71-I71</f>
        <v>48</v>
      </c>
      <c r="L71" s="47" t="s">
        <v>14</v>
      </c>
      <c r="M71" s="67" t="s">
        <v>60</v>
      </c>
      <c r="N71" s="25"/>
      <c r="O71" s="23" t="s">
        <v>13</v>
      </c>
      <c r="P71" s="23" t="s">
        <v>58</v>
      </c>
      <c r="Q71" s="23" t="s">
        <v>510</v>
      </c>
      <c r="R71" s="23"/>
      <c r="S71" s="23" t="s">
        <v>109</v>
      </c>
      <c r="T71" s="23" t="s">
        <v>509</v>
      </c>
      <c r="U71" s="23" t="s">
        <v>508</v>
      </c>
      <c r="V71" s="23" t="s">
        <v>66</v>
      </c>
      <c r="W71" s="23" t="s">
        <v>559</v>
      </c>
      <c r="X71" s="21" t="s">
        <v>5</v>
      </c>
      <c r="Y71" s="21" t="s">
        <v>49</v>
      </c>
      <c r="Z71" s="23" t="s">
        <v>18</v>
      </c>
      <c r="AA71" s="22">
        <v>3</v>
      </c>
      <c r="AB71" s="22">
        <v>5</v>
      </c>
      <c r="AC71" s="22">
        <v>1</v>
      </c>
      <c r="AD71" s="22">
        <v>5</v>
      </c>
      <c r="AE71" s="22">
        <v>1</v>
      </c>
      <c r="AF71" s="22">
        <v>1</v>
      </c>
      <c r="AG71" s="22">
        <v>3</v>
      </c>
      <c r="AH71" s="22">
        <f>(AA71*$AA$2)+(AB71*$AB$2)+(AC71*$AC$2)+(AD71*$AD$2)+(AE71*$AE$2)+(AF71*$AF$2)+(AG71*$AG$2)</f>
        <v>285</v>
      </c>
      <c r="AI71" s="22">
        <v>5</v>
      </c>
      <c r="AJ71" s="22">
        <v>5</v>
      </c>
      <c r="AK71" s="22">
        <v>5</v>
      </c>
      <c r="AL71" s="22">
        <v>5</v>
      </c>
      <c r="AM71" s="22">
        <v>5</v>
      </c>
      <c r="AN71" s="22">
        <v>5</v>
      </c>
      <c r="AO71" s="22">
        <v>5</v>
      </c>
      <c r="AP71" s="21">
        <f>(AI71*$AI$2)+(AJ71*$AJ$2)+(AK71*$AK$2)+(AL71*$AL$2)+(AM71*$AM$2)+(AN71*$AN$2)+(AO71*$AO$2)</f>
        <v>525</v>
      </c>
      <c r="AQ71" s="21">
        <f>AP71+AH71</f>
        <v>810</v>
      </c>
      <c r="AR71" s="106" t="s">
        <v>750</v>
      </c>
      <c r="AS71" s="20" t="s">
        <v>749</v>
      </c>
      <c r="AT71" s="18">
        <v>20000</v>
      </c>
      <c r="AU71" s="17"/>
      <c r="AV71" s="23" t="s">
        <v>258</v>
      </c>
      <c r="AW71" s="23"/>
      <c r="AX71" s="23"/>
      <c r="AY71" s="23"/>
      <c r="AZ71" s="23"/>
      <c r="BA71" s="23"/>
      <c r="BB71" s="23"/>
      <c r="BC71" s="23"/>
      <c r="BD71" s="52">
        <f>SUM(AX71:BC71)</f>
        <v>0</v>
      </c>
      <c r="BE71" s="182"/>
      <c r="BF71" s="181"/>
      <c r="BG71" s="16" t="s">
        <v>58</v>
      </c>
      <c r="BH71" s="48"/>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row>
    <row r="72" spans="1:173" s="108" customFormat="1" ht="117">
      <c r="A72" s="21"/>
      <c r="B72" s="21">
        <v>52</v>
      </c>
      <c r="C72" s="21"/>
      <c r="D72" s="21"/>
      <c r="E72" s="69" t="s">
        <v>746</v>
      </c>
      <c r="F72" s="69" t="s">
        <v>748</v>
      </c>
      <c r="G72" s="69"/>
      <c r="H72" s="29" t="s">
        <v>107</v>
      </c>
      <c r="I72" s="73">
        <v>45658</v>
      </c>
      <c r="J72" s="73" t="s">
        <v>107</v>
      </c>
      <c r="K72" s="54"/>
      <c r="L72" s="47" t="s">
        <v>70</v>
      </c>
      <c r="M72" s="26" t="s">
        <v>38</v>
      </c>
      <c r="N72" s="25"/>
      <c r="O72" s="23" t="s">
        <v>13</v>
      </c>
      <c r="P72" s="23" t="s">
        <v>68</v>
      </c>
      <c r="Q72" s="23" t="s">
        <v>57</v>
      </c>
      <c r="R72" s="23"/>
      <c r="S72" s="23" t="s">
        <v>109</v>
      </c>
      <c r="T72" s="23" t="s">
        <v>109</v>
      </c>
      <c r="U72" s="23"/>
      <c r="V72" s="23" t="s">
        <v>66</v>
      </c>
      <c r="W72" s="23"/>
      <c r="X72" s="21" t="s">
        <v>5</v>
      </c>
      <c r="Y72" s="21" t="s">
        <v>42</v>
      </c>
      <c r="Z72" s="23" t="s">
        <v>18</v>
      </c>
      <c r="AA72" s="22">
        <v>3</v>
      </c>
      <c r="AB72" s="22">
        <v>5</v>
      </c>
      <c r="AC72" s="22">
        <v>1</v>
      </c>
      <c r="AD72" s="22">
        <v>5</v>
      </c>
      <c r="AE72" s="22">
        <v>0</v>
      </c>
      <c r="AF72" s="22">
        <v>1</v>
      </c>
      <c r="AG72" s="22">
        <v>5</v>
      </c>
      <c r="AH72" s="22">
        <f>(AA72*$AA$2)+(AB72*$AB$2)+(AC72*$AC$2)+(AD72*$AD$2)+(AE72*$AE$2)+(AF72*$AF$2)+(AG72*$AG$2)</f>
        <v>300</v>
      </c>
      <c r="AI72" s="22">
        <v>5</v>
      </c>
      <c r="AJ72" s="22">
        <v>5</v>
      </c>
      <c r="AK72" s="22">
        <v>3</v>
      </c>
      <c r="AL72" s="22">
        <v>5</v>
      </c>
      <c r="AM72" s="22">
        <v>3</v>
      </c>
      <c r="AN72" s="22">
        <v>5</v>
      </c>
      <c r="AO72" s="22">
        <v>5</v>
      </c>
      <c r="AP72" s="21">
        <f>(AI72*$AI$2)+(AJ72*$AJ$2)+(AK72*$AK$2)+(AL72*$AL$2)+(AM72*$AM$2)+(AN72*$AN$2)+(AO72*$AO$2)</f>
        <v>465</v>
      </c>
      <c r="AQ72" s="21">
        <f>AP72+AH72</f>
        <v>765</v>
      </c>
      <c r="AR72" s="20" t="s">
        <v>744</v>
      </c>
      <c r="AS72" s="20" t="s">
        <v>747</v>
      </c>
      <c r="AT72" s="18"/>
      <c r="AU72" s="17"/>
      <c r="AV72" s="17"/>
      <c r="AW72" s="17"/>
      <c r="AX72" s="17"/>
      <c r="AY72" s="17"/>
      <c r="AZ72" s="17"/>
      <c r="BA72" s="17"/>
      <c r="BB72" s="17"/>
      <c r="BC72" s="17"/>
      <c r="BD72" s="52">
        <f>SUM(AX72:BC72)</f>
        <v>0</v>
      </c>
      <c r="BE72" s="17"/>
      <c r="BF72" s="17"/>
      <c r="BG72" s="16" t="s">
        <v>0</v>
      </c>
      <c r="BH72" s="48"/>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row>
    <row r="73" spans="1:173" ht="39">
      <c r="A73" s="21"/>
      <c r="B73" s="21">
        <v>50</v>
      </c>
      <c r="C73" s="21"/>
      <c r="D73" s="21"/>
      <c r="E73" s="69" t="s">
        <v>746</v>
      </c>
      <c r="F73" s="69" t="s">
        <v>745</v>
      </c>
      <c r="G73" s="69"/>
      <c r="H73" s="29">
        <v>45839</v>
      </c>
      <c r="I73" s="73"/>
      <c r="J73" s="73"/>
      <c r="K73" s="54"/>
      <c r="L73" s="47" t="s">
        <v>70</v>
      </c>
      <c r="M73" s="26" t="s">
        <v>38</v>
      </c>
      <c r="N73" s="25"/>
      <c r="O73" s="23" t="s">
        <v>69</v>
      </c>
      <c r="P73" s="23" t="s">
        <v>68</v>
      </c>
      <c r="Q73" s="23" t="s">
        <v>57</v>
      </c>
      <c r="R73" s="23" t="s">
        <v>163</v>
      </c>
      <c r="S73" s="23" t="s">
        <v>109</v>
      </c>
      <c r="T73" s="23" t="s">
        <v>109</v>
      </c>
      <c r="U73" s="23" t="s">
        <v>31</v>
      </c>
      <c r="V73" s="23" t="s">
        <v>66</v>
      </c>
      <c r="W73" s="23"/>
      <c r="X73" s="21" t="s">
        <v>5</v>
      </c>
      <c r="Y73" s="21" t="s">
        <v>42</v>
      </c>
      <c r="Z73" s="23" t="s">
        <v>18</v>
      </c>
      <c r="AA73" s="22">
        <v>3</v>
      </c>
      <c r="AB73" s="22">
        <v>5</v>
      </c>
      <c r="AC73" s="22">
        <v>1</v>
      </c>
      <c r="AD73" s="22">
        <v>5</v>
      </c>
      <c r="AE73" s="22">
        <v>0</v>
      </c>
      <c r="AF73" s="22">
        <v>1</v>
      </c>
      <c r="AG73" s="22">
        <v>5</v>
      </c>
      <c r="AH73" s="22">
        <f>(AA73*$AA$2)+(AB73*$AB$2)+(AC73*$AC$2)+(AD73*$AD$2)+(AE73*$AE$2)+(AF73*$AF$2)+(AG73*$AG$2)</f>
        <v>300</v>
      </c>
      <c r="AI73" s="22">
        <v>5</v>
      </c>
      <c r="AJ73" s="22">
        <v>5</v>
      </c>
      <c r="AK73" s="22">
        <v>3</v>
      </c>
      <c r="AL73" s="22">
        <v>5</v>
      </c>
      <c r="AM73" s="22">
        <v>3</v>
      </c>
      <c r="AN73" s="22">
        <v>5</v>
      </c>
      <c r="AO73" s="22">
        <v>5</v>
      </c>
      <c r="AP73" s="21">
        <f>(AI73*$AI$2)+(AJ73*$AJ$2)+(AK73*$AK$2)+(AL73*$AL$2)+(AM73*$AM$2)+(AN73*$AN$2)+(AO73*$AO$2)</f>
        <v>465</v>
      </c>
      <c r="AQ73" s="21">
        <f>AP73+AH73</f>
        <v>765</v>
      </c>
      <c r="AR73" s="20" t="s">
        <v>744</v>
      </c>
      <c r="AS73" s="20" t="s">
        <v>743</v>
      </c>
      <c r="AT73" s="180" t="s">
        <v>556</v>
      </c>
      <c r="AU73" s="17"/>
      <c r="AV73" s="17" t="s">
        <v>742</v>
      </c>
      <c r="AW73" s="17"/>
      <c r="AX73" s="17"/>
      <c r="AY73" s="17"/>
      <c r="AZ73" s="17"/>
      <c r="BA73" s="17"/>
      <c r="BB73" s="17"/>
      <c r="BC73" s="17"/>
      <c r="BD73" s="52">
        <f>SUM(AX73:BC73)</f>
        <v>0</v>
      </c>
      <c r="BE73" s="17"/>
      <c r="BF73" s="28"/>
      <c r="BG73" s="16" t="s">
        <v>70</v>
      </c>
      <c r="BH73" s="48"/>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c r="CR73" s="50"/>
      <c r="CS73" s="50"/>
      <c r="CT73" s="50"/>
      <c r="CU73" s="50"/>
      <c r="CV73" s="50"/>
      <c r="CW73" s="50"/>
      <c r="CX73" s="50"/>
      <c r="CY73" s="50"/>
      <c r="CZ73" s="50"/>
      <c r="DA73" s="50"/>
      <c r="DB73" s="50"/>
      <c r="DC73" s="50"/>
      <c r="DD73" s="50"/>
      <c r="DE73" s="50"/>
      <c r="DF73" s="50"/>
      <c r="DG73" s="50"/>
      <c r="DH73" s="50"/>
      <c r="DI73" s="50"/>
      <c r="DJ73" s="50"/>
      <c r="DK73" s="50"/>
      <c r="DL73" s="50"/>
      <c r="DM73" s="50"/>
      <c r="DN73" s="50"/>
      <c r="DO73" s="50"/>
      <c r="DP73" s="50"/>
      <c r="DQ73" s="50"/>
      <c r="DR73" s="50"/>
      <c r="DS73" s="50"/>
      <c r="DT73" s="50"/>
      <c r="DU73" s="50"/>
      <c r="DV73" s="50"/>
      <c r="DW73" s="50"/>
      <c r="DX73" s="50"/>
      <c r="DY73" s="50"/>
      <c r="DZ73" s="50"/>
      <c r="EA73" s="50"/>
      <c r="EB73" s="50"/>
      <c r="EC73" s="50"/>
      <c r="ED73" s="50"/>
      <c r="EE73" s="50"/>
      <c r="EF73" s="50"/>
      <c r="EG73" s="50"/>
      <c r="EH73" s="50"/>
      <c r="EI73" s="50"/>
      <c r="EJ73" s="50"/>
      <c r="EK73" s="50"/>
      <c r="EL73" s="50"/>
      <c r="EM73" s="50"/>
      <c r="EN73" s="50"/>
      <c r="EO73" s="50"/>
      <c r="EP73" s="50"/>
      <c r="EQ73" s="50"/>
      <c r="ER73" s="50"/>
      <c r="ES73" s="50"/>
      <c r="ET73" s="50"/>
      <c r="EU73" s="50"/>
      <c r="EV73" s="50"/>
      <c r="EW73" s="50"/>
      <c r="EX73" s="50"/>
      <c r="EY73" s="50"/>
      <c r="EZ73" s="50"/>
      <c r="FA73" s="50"/>
      <c r="FB73" s="50"/>
      <c r="FC73" s="50"/>
      <c r="FD73" s="50"/>
      <c r="FE73" s="50"/>
      <c r="FF73" s="50"/>
      <c r="FG73" s="50"/>
      <c r="FH73" s="50"/>
      <c r="FI73" s="50"/>
      <c r="FJ73" s="50"/>
      <c r="FK73" s="50"/>
      <c r="FL73" s="50"/>
      <c r="FM73" s="50"/>
      <c r="FN73" s="50"/>
      <c r="FO73" s="50"/>
      <c r="FP73" s="50"/>
      <c r="FQ73" s="50"/>
    </row>
    <row r="74" spans="1:173" ht="130">
      <c r="A74" s="21"/>
      <c r="B74" s="21">
        <v>16</v>
      </c>
      <c r="C74" s="7"/>
      <c r="D74" s="21"/>
      <c r="E74" s="69" t="s">
        <v>741</v>
      </c>
      <c r="F74" s="69" t="s">
        <v>740</v>
      </c>
      <c r="G74" s="69" t="s">
        <v>739</v>
      </c>
      <c r="H74" s="29" t="s">
        <v>107</v>
      </c>
      <c r="I74" s="73">
        <v>45659</v>
      </c>
      <c r="J74" s="73" t="s">
        <v>107</v>
      </c>
      <c r="K74" s="17"/>
      <c r="L74" s="47" t="s">
        <v>112</v>
      </c>
      <c r="M74" s="105" t="s">
        <v>74</v>
      </c>
      <c r="N74" s="25"/>
      <c r="O74" s="23" t="s">
        <v>50</v>
      </c>
      <c r="P74" s="23" t="s">
        <v>33</v>
      </c>
      <c r="Q74" s="23" t="s">
        <v>179</v>
      </c>
      <c r="R74" s="23" t="s">
        <v>31</v>
      </c>
      <c r="S74" s="179" t="s">
        <v>109</v>
      </c>
      <c r="T74" s="179" t="s">
        <v>121</v>
      </c>
      <c r="U74" s="23" t="s">
        <v>659</v>
      </c>
      <c r="V74" s="179" t="s">
        <v>163</v>
      </c>
      <c r="W74" s="23"/>
      <c r="X74" s="21" t="s">
        <v>5</v>
      </c>
      <c r="Y74" s="21" t="s">
        <v>42</v>
      </c>
      <c r="Z74" s="101"/>
      <c r="AA74" s="21">
        <v>5</v>
      </c>
      <c r="AB74" s="21">
        <v>5</v>
      </c>
      <c r="AC74" s="21">
        <v>5</v>
      </c>
      <c r="AD74" s="21">
        <v>5</v>
      </c>
      <c r="AE74" s="21">
        <v>0</v>
      </c>
      <c r="AF74" s="21">
        <v>3</v>
      </c>
      <c r="AG74" s="21">
        <v>5</v>
      </c>
      <c r="AH74" s="22">
        <f>(AA74*$AA$2)+(AB74*$AB$2)+(AC74*$AC$2)+(AD74*$AD$2)+(AE74*$AE$2)+(AF74*$AF$2)+(AG74*$AG$2)</f>
        <v>420</v>
      </c>
      <c r="AI74" s="21"/>
      <c r="AJ74" s="21"/>
      <c r="AK74" s="21"/>
      <c r="AL74" s="21"/>
      <c r="AM74" s="21"/>
      <c r="AN74" s="21"/>
      <c r="AO74" s="21"/>
      <c r="AP74" s="21">
        <f>(AI74*$AI$2)+(AJ74*$AJ$2)+(AK74*$AK$2)+(AL74*$AL$2)+(AM74*$AM$2)+(AN74*$AN$2)+(AO74*$AO$2)</f>
        <v>0</v>
      </c>
      <c r="AQ74" s="21">
        <f>AP74+AH74</f>
        <v>420</v>
      </c>
      <c r="AR74" s="178" t="s">
        <v>738</v>
      </c>
      <c r="AS74" s="80" t="s">
        <v>737</v>
      </c>
      <c r="AT74" s="23"/>
      <c r="AU74" s="17" t="s">
        <v>736</v>
      </c>
      <c r="AV74" s="80" t="s">
        <v>735</v>
      </c>
      <c r="AW74" s="23"/>
      <c r="AX74" s="23"/>
      <c r="AY74" s="23"/>
      <c r="AZ74" s="23"/>
      <c r="BA74" s="23"/>
      <c r="BB74" s="23"/>
      <c r="BC74" s="23"/>
      <c r="BD74" s="52">
        <f>SUM(AX74:BC74)</f>
        <v>0</v>
      </c>
      <c r="BE74" s="17"/>
      <c r="BF74" s="17"/>
      <c r="BG74" s="16" t="s">
        <v>475</v>
      </c>
      <c r="BH74" s="80" t="s">
        <v>734</v>
      </c>
    </row>
    <row r="75" spans="1:173" s="50" customFormat="1" ht="100" customHeight="1">
      <c r="A75" s="21"/>
      <c r="B75" s="21">
        <v>29</v>
      </c>
      <c r="C75" s="97"/>
      <c r="D75" s="21"/>
      <c r="E75" s="69" t="s">
        <v>733</v>
      </c>
      <c r="F75" s="69" t="s">
        <v>732</v>
      </c>
      <c r="G75" s="69"/>
      <c r="H75" s="29">
        <v>45607</v>
      </c>
      <c r="I75" s="29">
        <v>45672</v>
      </c>
      <c r="J75" s="29"/>
      <c r="K75" s="17"/>
      <c r="L75" s="47" t="s">
        <v>112</v>
      </c>
      <c r="M75" s="67" t="s">
        <v>60</v>
      </c>
      <c r="N75" s="67" t="s">
        <v>731</v>
      </c>
      <c r="O75" s="23" t="s">
        <v>13</v>
      </c>
      <c r="P75" s="23" t="s">
        <v>33</v>
      </c>
      <c r="Q75" s="23" t="s">
        <v>730</v>
      </c>
      <c r="R75" s="23" t="s">
        <v>729</v>
      </c>
      <c r="S75" s="23" t="s">
        <v>10</v>
      </c>
      <c r="T75" s="23" t="s">
        <v>49</v>
      </c>
      <c r="U75" s="23" t="s">
        <v>107</v>
      </c>
      <c r="V75" s="23" t="s">
        <v>66</v>
      </c>
      <c r="W75" s="22" t="s">
        <v>481</v>
      </c>
      <c r="X75" s="21" t="s">
        <v>5</v>
      </c>
      <c r="Y75" s="21" t="s">
        <v>49</v>
      </c>
      <c r="Z75" s="22" t="s">
        <v>728</v>
      </c>
      <c r="AA75" s="21">
        <v>2</v>
      </c>
      <c r="AB75" s="21">
        <v>1</v>
      </c>
      <c r="AC75" s="21">
        <v>5</v>
      </c>
      <c r="AD75" s="21">
        <v>5</v>
      </c>
      <c r="AE75" s="21">
        <v>1</v>
      </c>
      <c r="AF75" s="21">
        <v>3</v>
      </c>
      <c r="AG75" s="21">
        <v>5</v>
      </c>
      <c r="AH75" s="22">
        <f>(AA75*$AA$2)+(AB75*$AB$2)+(AC75*$AC$2)+(AD75*$AD$2)+(AE75*$AE$2)+(AF75*$AF$2)+(AG75*$AG$2)</f>
        <v>330</v>
      </c>
      <c r="AI75" s="21">
        <v>4</v>
      </c>
      <c r="AJ75" s="21">
        <v>4</v>
      </c>
      <c r="AK75" s="21">
        <v>3</v>
      </c>
      <c r="AL75" s="21">
        <v>3</v>
      </c>
      <c r="AM75" s="21">
        <v>3</v>
      </c>
      <c r="AN75" s="21">
        <v>3</v>
      </c>
      <c r="AO75" s="21">
        <v>3</v>
      </c>
      <c r="AP75" s="21">
        <f>(AI75*$AI$2)+(AJ75*$AJ$2)+(AK75*$AK$2)+(AL75*$AL$2)+(AM75*$AM$2)+(AN75*$AN$2)+(AO75*$AO$2)</f>
        <v>345</v>
      </c>
      <c r="AQ75" s="21">
        <f>AP75+AH75</f>
        <v>675</v>
      </c>
      <c r="AR75" s="177" t="s">
        <v>727</v>
      </c>
      <c r="AS75" s="177" t="s">
        <v>726</v>
      </c>
      <c r="AT75" s="18"/>
      <c r="AU75" s="17"/>
      <c r="AV75" s="17" t="s">
        <v>374</v>
      </c>
      <c r="AW75" s="17"/>
      <c r="AX75" s="17"/>
      <c r="AY75" s="17"/>
      <c r="AZ75" s="17"/>
      <c r="BA75" s="17"/>
      <c r="BB75" s="17"/>
      <c r="BC75" s="17"/>
      <c r="BD75" s="52">
        <f>SUM(AX75:BC75)</f>
        <v>0</v>
      </c>
      <c r="BE75" s="17"/>
      <c r="BF75" s="77"/>
      <c r="BG75" s="16" t="s">
        <v>475</v>
      </c>
      <c r="BH75" s="144"/>
      <c r="BI75" s="1"/>
      <c r="BJ75" s="1"/>
    </row>
    <row r="76" spans="1:173" ht="78">
      <c r="A76" s="21" t="s">
        <v>725</v>
      </c>
      <c r="B76" s="21">
        <v>56</v>
      </c>
      <c r="C76" s="21"/>
      <c r="D76" s="21">
        <v>27155</v>
      </c>
      <c r="E76" s="69" t="s">
        <v>724</v>
      </c>
      <c r="F76" s="69" t="s">
        <v>723</v>
      </c>
      <c r="G76" s="69" t="s">
        <v>722</v>
      </c>
      <c r="H76" s="29" t="s">
        <v>502</v>
      </c>
      <c r="I76" s="73">
        <v>45444</v>
      </c>
      <c r="J76" s="73"/>
      <c r="K76" s="54"/>
      <c r="L76" s="47" t="s">
        <v>70</v>
      </c>
      <c r="M76" s="25" t="s">
        <v>196</v>
      </c>
      <c r="N76" s="25" t="s">
        <v>59</v>
      </c>
      <c r="O76" s="23" t="s">
        <v>69</v>
      </c>
      <c r="P76" s="23" t="s">
        <v>68</v>
      </c>
      <c r="Q76" s="16" t="s">
        <v>57</v>
      </c>
      <c r="R76" s="23" t="s">
        <v>8</v>
      </c>
      <c r="S76" s="23" t="s">
        <v>721</v>
      </c>
      <c r="T76" s="23" t="s">
        <v>721</v>
      </c>
      <c r="U76" s="23" t="s">
        <v>508</v>
      </c>
      <c r="V76" s="23" t="s">
        <v>56</v>
      </c>
      <c r="W76" s="23" t="s">
        <v>90</v>
      </c>
      <c r="X76" s="21" t="s">
        <v>5</v>
      </c>
      <c r="Y76" s="21" t="s">
        <v>4</v>
      </c>
      <c r="Z76" s="23" t="s">
        <v>3</v>
      </c>
      <c r="AA76" s="21">
        <v>4</v>
      </c>
      <c r="AB76" s="21">
        <v>5</v>
      </c>
      <c r="AC76" s="21">
        <v>5</v>
      </c>
      <c r="AD76" s="21">
        <v>5</v>
      </c>
      <c r="AE76" s="21">
        <v>1</v>
      </c>
      <c r="AF76" s="21">
        <v>5</v>
      </c>
      <c r="AG76" s="21">
        <v>5</v>
      </c>
      <c r="AH76" s="22">
        <f>(AA76*$AA$2)+(AB76*$AB$2)+(AC76*$AC$2)+(AD76*$AD$2)+(AE76*$AE$2)+(AF76*$AF$2)+(AG76*$AG$2)</f>
        <v>450</v>
      </c>
      <c r="AI76" s="21">
        <v>5</v>
      </c>
      <c r="AJ76" s="21">
        <v>3</v>
      </c>
      <c r="AK76" s="21">
        <v>2</v>
      </c>
      <c r="AL76" s="21">
        <v>1</v>
      </c>
      <c r="AM76" s="21">
        <v>3</v>
      </c>
      <c r="AN76" s="21">
        <v>3</v>
      </c>
      <c r="AO76" s="21">
        <v>3</v>
      </c>
      <c r="AP76" s="21">
        <f>(AI76*$AI$2)+(AJ76*$AJ$2)+(AK76*$AK$2)+(AL76*$AL$2)+(AM76*$AM$2)+(AN76*$AN$2)+(AO76*$AO$2)</f>
        <v>300</v>
      </c>
      <c r="AQ76" s="21">
        <f>AP76+AH76</f>
        <v>750</v>
      </c>
      <c r="AR76" s="112" t="s">
        <v>720</v>
      </c>
      <c r="AS76" s="20" t="s">
        <v>719</v>
      </c>
      <c r="AT76" s="23"/>
      <c r="AU76" s="17"/>
      <c r="AV76" s="17"/>
      <c r="AW76" s="17"/>
      <c r="AX76" s="17"/>
      <c r="AY76" s="17"/>
      <c r="AZ76" s="17"/>
      <c r="BA76" s="17"/>
      <c r="BB76" s="17"/>
      <c r="BC76" s="17"/>
      <c r="BD76" s="52">
        <f>SUM(AX76:BC76)</f>
        <v>0</v>
      </c>
      <c r="BE76" s="17"/>
      <c r="BF76" s="17"/>
      <c r="BG76" s="16" t="s">
        <v>70</v>
      </c>
      <c r="BH76" s="106" t="s">
        <v>718</v>
      </c>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50"/>
      <c r="DJ76" s="50"/>
      <c r="DK76" s="50"/>
      <c r="DL76" s="50"/>
      <c r="DM76" s="50"/>
      <c r="DN76" s="50"/>
      <c r="DO76" s="50"/>
      <c r="DP76" s="50"/>
      <c r="DQ76" s="50"/>
      <c r="DR76" s="50"/>
      <c r="DS76" s="50"/>
      <c r="DT76" s="50"/>
      <c r="DU76" s="50"/>
      <c r="DV76" s="50"/>
      <c r="DW76" s="50"/>
      <c r="DX76" s="50"/>
      <c r="DY76" s="50"/>
      <c r="DZ76" s="50"/>
      <c r="EA76" s="50"/>
      <c r="EB76" s="50"/>
      <c r="EC76" s="50"/>
      <c r="ED76" s="50"/>
      <c r="EE76" s="50"/>
      <c r="EF76" s="50"/>
      <c r="EG76" s="50"/>
      <c r="EH76" s="50"/>
      <c r="EI76" s="50"/>
      <c r="EJ76" s="50"/>
      <c r="EK76" s="50"/>
      <c r="EL76" s="50"/>
      <c r="EM76" s="50"/>
      <c r="EN76" s="50"/>
      <c r="EO76" s="50"/>
      <c r="EP76" s="50"/>
      <c r="EQ76" s="50"/>
      <c r="ER76" s="50"/>
      <c r="ES76" s="50"/>
      <c r="ET76" s="50"/>
      <c r="EU76" s="50"/>
      <c r="EV76" s="50"/>
      <c r="EW76" s="50"/>
      <c r="EX76" s="50"/>
      <c r="EY76" s="50"/>
      <c r="EZ76" s="50"/>
      <c r="FA76" s="50"/>
      <c r="FB76" s="50"/>
      <c r="FC76" s="50"/>
      <c r="FD76" s="50"/>
      <c r="FE76" s="50"/>
      <c r="FF76" s="50"/>
      <c r="FG76" s="50"/>
      <c r="FH76" s="50"/>
      <c r="FI76" s="50"/>
      <c r="FJ76" s="50"/>
      <c r="FK76" s="50"/>
      <c r="FL76" s="50"/>
      <c r="FM76" s="50"/>
      <c r="FN76" s="50"/>
      <c r="FO76" s="50"/>
      <c r="FP76" s="50"/>
      <c r="FQ76" s="50"/>
    </row>
    <row r="77" spans="1:173" ht="26">
      <c r="A77" s="25" t="s">
        <v>717</v>
      </c>
      <c r="B77" s="25">
        <v>13</v>
      </c>
      <c r="C77" s="32"/>
      <c r="D77" s="25">
        <v>30647</v>
      </c>
      <c r="E77" s="69" t="s">
        <v>716</v>
      </c>
      <c r="F77" s="69" t="s">
        <v>715</v>
      </c>
      <c r="G77" s="69" t="s">
        <v>714</v>
      </c>
      <c r="H77" s="119" t="s">
        <v>107</v>
      </c>
      <c r="I77" s="73">
        <v>45672</v>
      </c>
      <c r="J77" s="73">
        <v>46006</v>
      </c>
      <c r="K77" s="17">
        <f ca="1">TODAY()-I77</f>
        <v>334</v>
      </c>
      <c r="L77" s="118" t="s">
        <v>14</v>
      </c>
      <c r="M77" s="26" t="s">
        <v>74</v>
      </c>
      <c r="N77" s="26"/>
      <c r="O77" s="68" t="s">
        <v>69</v>
      </c>
      <c r="P77" s="67" t="s">
        <v>33</v>
      </c>
      <c r="Q77" s="67" t="s">
        <v>525</v>
      </c>
      <c r="R77" s="67"/>
      <c r="S77" s="67" t="s">
        <v>306</v>
      </c>
      <c r="T77" s="67" t="s">
        <v>306</v>
      </c>
      <c r="U77" s="67" t="s">
        <v>713</v>
      </c>
      <c r="V77" s="67" t="s">
        <v>66</v>
      </c>
      <c r="W77" s="26" t="s">
        <v>286</v>
      </c>
      <c r="X77" s="21" t="s">
        <v>5</v>
      </c>
      <c r="Y77" s="25" t="s">
        <v>126</v>
      </c>
      <c r="Z77" s="26" t="s">
        <v>147</v>
      </c>
      <c r="AA77" s="25">
        <v>4</v>
      </c>
      <c r="AB77" s="25">
        <v>5</v>
      </c>
      <c r="AC77" s="25">
        <v>5</v>
      </c>
      <c r="AD77" s="25">
        <v>5</v>
      </c>
      <c r="AE77" s="25">
        <v>1</v>
      </c>
      <c r="AF77" s="25">
        <v>1</v>
      </c>
      <c r="AG77" s="25">
        <v>5</v>
      </c>
      <c r="AH77" s="26">
        <f>(AA77*$AC$2)+(AB77*$AD$2)+(AC77*$AE$2)+(AD77*$AF$2)+(AE77*$AG$2)+(AF77*$AH$2)+(AG77*$AI$2)</f>
        <v>375</v>
      </c>
      <c r="AI77" s="25">
        <v>5</v>
      </c>
      <c r="AJ77" s="25">
        <v>5</v>
      </c>
      <c r="AK77" s="25">
        <v>1</v>
      </c>
      <c r="AL77" s="25">
        <v>3</v>
      </c>
      <c r="AM77" s="25">
        <v>3</v>
      </c>
      <c r="AN77" s="25">
        <v>3</v>
      </c>
      <c r="AO77" s="25">
        <v>3</v>
      </c>
      <c r="AP77" s="25">
        <f>(AI77*$AK$2)+(AJ77*$AL$2)+(AK77*$AM$2)+(AL77*$AN$2)+(AM77*$AO$2)+(AN77*$AP$2)+(AO77*$AQ$2)</f>
        <v>255</v>
      </c>
      <c r="AQ77" s="25">
        <f>AP77+AH77</f>
        <v>630</v>
      </c>
      <c r="AR77" s="30" t="s">
        <v>712</v>
      </c>
      <c r="AS77" s="30"/>
      <c r="AT77" s="116">
        <v>36000</v>
      </c>
      <c r="AU77" s="26"/>
      <c r="AV77" s="23" t="s">
        <v>374</v>
      </c>
      <c r="AW77" s="26"/>
      <c r="AX77" s="26"/>
      <c r="AY77" s="26"/>
      <c r="AZ77" s="26"/>
      <c r="BA77" s="26"/>
      <c r="BB77" s="26"/>
      <c r="BC77" s="26"/>
      <c r="BD77" s="52">
        <f>SUM(AX77:BC77)</f>
        <v>0</v>
      </c>
      <c r="BE77" s="26"/>
      <c r="BF77" s="26"/>
      <c r="BG77" s="26" t="s">
        <v>711</v>
      </c>
      <c r="BH77" s="176"/>
      <c r="BI77" s="141"/>
      <c r="BJ77" s="141"/>
      <c r="BK77" s="113"/>
      <c r="BL77" s="113"/>
      <c r="BM77" s="113"/>
      <c r="BN77" s="113"/>
      <c r="BO77" s="113"/>
      <c r="BP77" s="113"/>
      <c r="BQ77" s="113"/>
      <c r="BR77" s="113"/>
      <c r="BS77" s="113"/>
      <c r="BT77" s="113"/>
      <c r="BU77" s="113"/>
      <c r="BV77" s="113"/>
      <c r="BW77" s="113"/>
      <c r="BX77" s="113"/>
      <c r="BY77" s="113"/>
      <c r="BZ77" s="113"/>
      <c r="CA77" s="113"/>
      <c r="CB77" s="113"/>
      <c r="CC77" s="113"/>
      <c r="CD77" s="113"/>
      <c r="CE77" s="113"/>
      <c r="CF77" s="113"/>
      <c r="CG77" s="113"/>
      <c r="CH77" s="113"/>
      <c r="CI77" s="113"/>
      <c r="CJ77" s="113"/>
      <c r="CK77" s="113"/>
      <c r="CL77" s="113"/>
      <c r="CM77" s="113"/>
      <c r="CN77" s="113"/>
      <c r="CO77" s="113"/>
      <c r="CP77" s="113"/>
      <c r="CQ77" s="113"/>
      <c r="CR77" s="113"/>
      <c r="CS77" s="113"/>
      <c r="CT77" s="113"/>
      <c r="CU77" s="113"/>
      <c r="CV77" s="113"/>
      <c r="CW77" s="113"/>
      <c r="CX77" s="113"/>
      <c r="CY77" s="113"/>
      <c r="CZ77" s="113"/>
      <c r="DA77" s="113"/>
      <c r="DB77" s="113"/>
      <c r="DC77" s="113"/>
      <c r="DD77" s="113"/>
      <c r="DE77" s="113"/>
      <c r="DF77" s="113"/>
      <c r="DG77" s="113"/>
      <c r="DH77" s="113"/>
      <c r="DI77" s="113"/>
      <c r="DJ77" s="113"/>
      <c r="DK77" s="113"/>
      <c r="DL77" s="113"/>
      <c r="DM77" s="113"/>
      <c r="DN77" s="113"/>
      <c r="DO77" s="113"/>
      <c r="DP77" s="113"/>
      <c r="DQ77" s="113"/>
      <c r="DR77" s="113"/>
      <c r="DS77" s="113"/>
      <c r="DT77" s="113"/>
      <c r="DU77" s="113"/>
      <c r="DV77" s="113"/>
      <c r="DW77" s="113"/>
      <c r="DX77" s="113"/>
      <c r="DY77" s="113"/>
      <c r="DZ77" s="113"/>
      <c r="EA77" s="113"/>
      <c r="EB77" s="113"/>
      <c r="EC77" s="113"/>
      <c r="ED77" s="113"/>
      <c r="EE77" s="113"/>
      <c r="EF77" s="113"/>
      <c r="EG77" s="113"/>
      <c r="EH77" s="113"/>
      <c r="EI77" s="113"/>
      <c r="EJ77" s="113"/>
      <c r="EK77" s="113"/>
      <c r="EL77" s="113"/>
      <c r="EM77" s="113"/>
      <c r="EN77" s="113"/>
      <c r="EO77" s="113"/>
      <c r="EP77" s="113"/>
      <c r="EQ77" s="113"/>
      <c r="ER77" s="113"/>
      <c r="ES77" s="113"/>
      <c r="ET77" s="113"/>
      <c r="EU77" s="113"/>
      <c r="EV77" s="113"/>
      <c r="EW77" s="113"/>
      <c r="EX77" s="113"/>
      <c r="EY77" s="113"/>
      <c r="EZ77" s="113"/>
      <c r="FA77" s="113"/>
      <c r="FB77" s="113"/>
      <c r="FC77" s="113"/>
      <c r="FD77" s="113"/>
      <c r="FE77" s="113"/>
      <c r="FF77" s="113"/>
      <c r="FG77" s="113"/>
      <c r="FH77" s="113"/>
      <c r="FI77" s="113"/>
      <c r="FJ77" s="113"/>
      <c r="FK77" s="113"/>
      <c r="FL77" s="113"/>
      <c r="FM77" s="113"/>
      <c r="FN77" s="113"/>
      <c r="FO77" s="113"/>
      <c r="FP77" s="113"/>
      <c r="FQ77" s="113"/>
    </row>
    <row r="78" spans="1:173" ht="52">
      <c r="A78" s="21"/>
      <c r="B78" s="21">
        <v>7</v>
      </c>
      <c r="C78" s="21"/>
      <c r="D78" s="21"/>
      <c r="E78" s="69" t="s">
        <v>710</v>
      </c>
      <c r="F78" s="69" t="s">
        <v>709</v>
      </c>
      <c r="G78" s="69"/>
      <c r="H78" s="99">
        <v>45782</v>
      </c>
      <c r="I78" s="99">
        <v>45791</v>
      </c>
      <c r="J78" s="99">
        <v>45838</v>
      </c>
      <c r="K78" s="54">
        <f>J78-I78</f>
        <v>47</v>
      </c>
      <c r="L78" s="99" t="s">
        <v>14</v>
      </c>
      <c r="M78" s="99" t="s">
        <v>60</v>
      </c>
      <c r="N78" s="25" t="s">
        <v>59</v>
      </c>
      <c r="O78" s="23" t="s">
        <v>32</v>
      </c>
      <c r="P78" s="23" t="s">
        <v>58</v>
      </c>
      <c r="Q78" s="16" t="s">
        <v>57</v>
      </c>
      <c r="R78" s="23" t="s">
        <v>170</v>
      </c>
      <c r="S78" s="23" t="s">
        <v>698</v>
      </c>
      <c r="T78" s="23" t="s">
        <v>168</v>
      </c>
      <c r="U78" s="23" t="s">
        <v>8</v>
      </c>
      <c r="V78" s="23" t="s">
        <v>56</v>
      </c>
      <c r="W78" s="23" t="s">
        <v>6</v>
      </c>
      <c r="X78" s="21" t="s">
        <v>5</v>
      </c>
      <c r="Y78" s="21" t="s">
        <v>4</v>
      </c>
      <c r="Z78" s="88" t="s">
        <v>18</v>
      </c>
      <c r="AA78" s="21">
        <v>5</v>
      </c>
      <c r="AB78" s="21">
        <v>5</v>
      </c>
      <c r="AC78" s="21">
        <v>4</v>
      </c>
      <c r="AD78" s="21">
        <v>5</v>
      </c>
      <c r="AE78" s="21">
        <v>5</v>
      </c>
      <c r="AF78" s="21">
        <v>3</v>
      </c>
      <c r="AG78" s="21">
        <v>5</v>
      </c>
      <c r="AH78" s="22">
        <f>(AA78*$AA$2)+(AB78*$AB$2)+(AC78*$AC$2)+(AD78*$AD$2)+(AE78*$AE$2)+(AF78*$AF$2)+(AG78*$AG$2)</f>
        <v>480</v>
      </c>
      <c r="AI78" s="21">
        <v>5</v>
      </c>
      <c r="AJ78" s="21">
        <v>5</v>
      </c>
      <c r="AK78" s="21">
        <v>4</v>
      </c>
      <c r="AL78" s="21">
        <v>3</v>
      </c>
      <c r="AM78" s="21">
        <v>3</v>
      </c>
      <c r="AN78" s="21">
        <v>5</v>
      </c>
      <c r="AO78" s="21">
        <v>5</v>
      </c>
      <c r="AP78" s="21">
        <f>(AI78*$AI$2)+(AJ78*$AJ$2)+(AK78*$AK$2)+(AL78*$AL$2)+(AM78*$AM$2)+(AN78*$AN$2)+(AO78*$AO$2)</f>
        <v>450</v>
      </c>
      <c r="AQ78" s="21">
        <f>AP78+AH78</f>
        <v>930</v>
      </c>
      <c r="AR78" s="80" t="s">
        <v>708</v>
      </c>
      <c r="AS78" s="80" t="s">
        <v>707</v>
      </c>
      <c r="AT78" s="18" t="s">
        <v>166</v>
      </c>
      <c r="AU78" s="17"/>
      <c r="AV78" s="23" t="s">
        <v>54</v>
      </c>
      <c r="AW78" s="17"/>
      <c r="AX78" s="17"/>
      <c r="AY78" s="17"/>
      <c r="AZ78" s="17"/>
      <c r="BA78" s="17"/>
      <c r="BB78" s="17"/>
      <c r="BC78" s="17"/>
      <c r="BD78" s="52">
        <f>SUM(AX78:BC78)</f>
        <v>0</v>
      </c>
      <c r="BE78" s="17"/>
      <c r="BF78" s="28"/>
      <c r="BG78" s="16" t="s">
        <v>58</v>
      </c>
      <c r="BH78" s="51"/>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c r="CO78" s="50"/>
      <c r="CP78" s="50"/>
      <c r="CQ78" s="50"/>
      <c r="CR78" s="50"/>
      <c r="CS78" s="50"/>
      <c r="CT78" s="50"/>
      <c r="CU78" s="50"/>
      <c r="CV78" s="50"/>
      <c r="CW78" s="50"/>
      <c r="CX78" s="50"/>
      <c r="CY78" s="50"/>
      <c r="CZ78" s="50"/>
      <c r="DA78" s="50"/>
      <c r="DB78" s="50"/>
      <c r="DC78" s="50"/>
      <c r="DD78" s="50"/>
      <c r="DE78" s="50"/>
      <c r="DF78" s="50"/>
      <c r="DG78" s="50"/>
      <c r="DH78" s="50"/>
      <c r="DI78" s="50"/>
      <c r="DJ78" s="50"/>
      <c r="DK78" s="50"/>
      <c r="DL78" s="50"/>
      <c r="DM78" s="50"/>
      <c r="DN78" s="50"/>
      <c r="DO78" s="50"/>
      <c r="DP78" s="50"/>
      <c r="DQ78" s="50"/>
      <c r="DR78" s="50"/>
      <c r="DS78" s="50"/>
      <c r="DT78" s="50"/>
      <c r="DU78" s="50"/>
      <c r="DV78" s="50"/>
      <c r="DW78" s="50"/>
      <c r="DX78" s="50"/>
      <c r="DY78" s="50"/>
      <c r="DZ78" s="50"/>
      <c r="EA78" s="50"/>
      <c r="EB78" s="50"/>
      <c r="EC78" s="50"/>
      <c r="ED78" s="50"/>
      <c r="EE78" s="50"/>
      <c r="EF78" s="50"/>
      <c r="EG78" s="50"/>
      <c r="EH78" s="50"/>
      <c r="EI78" s="50"/>
      <c r="EJ78" s="50"/>
      <c r="EK78" s="50"/>
      <c r="EL78" s="50"/>
      <c r="EM78" s="50"/>
      <c r="EN78" s="50"/>
      <c r="EO78" s="50"/>
      <c r="EP78" s="50"/>
      <c r="EQ78" s="50"/>
      <c r="ER78" s="50"/>
      <c r="ES78" s="50"/>
      <c r="ET78" s="50"/>
      <c r="EU78" s="50"/>
      <c r="EV78" s="50"/>
      <c r="EW78" s="50"/>
      <c r="EX78" s="50"/>
      <c r="EY78" s="50"/>
      <c r="EZ78" s="50"/>
      <c r="FA78" s="50"/>
      <c r="FB78" s="50"/>
      <c r="FC78" s="50"/>
      <c r="FD78" s="50"/>
      <c r="FE78" s="50"/>
      <c r="FF78" s="50"/>
      <c r="FG78" s="50"/>
      <c r="FH78" s="50"/>
      <c r="FI78" s="50"/>
      <c r="FJ78" s="50"/>
      <c r="FK78" s="50"/>
      <c r="FL78" s="50"/>
      <c r="FM78" s="50"/>
      <c r="FN78" s="50"/>
      <c r="FO78" s="50"/>
      <c r="FP78" s="50"/>
      <c r="FQ78" s="50"/>
    </row>
    <row r="79" spans="1:173" s="50" customFormat="1" ht="77.5" customHeight="1">
      <c r="A79" s="21"/>
      <c r="B79" s="21">
        <v>1</v>
      </c>
      <c r="C79" s="149"/>
      <c r="D79" s="32"/>
      <c r="E79" s="69" t="s">
        <v>706</v>
      </c>
      <c r="F79" s="69" t="s">
        <v>705</v>
      </c>
      <c r="G79" s="69" t="s">
        <v>704</v>
      </c>
      <c r="H79" s="175">
        <v>45723</v>
      </c>
      <c r="I79" s="73">
        <v>45736</v>
      </c>
      <c r="J79" s="73">
        <v>45777</v>
      </c>
      <c r="K79" s="54">
        <f>J79-I79</f>
        <v>41</v>
      </c>
      <c r="L79" s="72" t="s">
        <v>14</v>
      </c>
      <c r="M79" s="16" t="s">
        <v>6</v>
      </c>
      <c r="N79" s="16" t="s">
        <v>59</v>
      </c>
      <c r="O79" s="23" t="s">
        <v>32</v>
      </c>
      <c r="P79" s="23" t="s">
        <v>58</v>
      </c>
      <c r="Q79" s="16" t="s">
        <v>57</v>
      </c>
      <c r="R79" s="23" t="s">
        <v>170</v>
      </c>
      <c r="S79" s="23" t="s">
        <v>10</v>
      </c>
      <c r="T79" s="23" t="s">
        <v>132</v>
      </c>
      <c r="U79" s="23" t="s">
        <v>8</v>
      </c>
      <c r="V79" s="23" t="s">
        <v>56</v>
      </c>
      <c r="W79" s="23" t="s">
        <v>6</v>
      </c>
      <c r="X79" s="21" t="s">
        <v>5</v>
      </c>
      <c r="Y79" s="23" t="s">
        <v>4</v>
      </c>
      <c r="Z79" s="23" t="s">
        <v>3</v>
      </c>
      <c r="AA79" s="23">
        <v>3</v>
      </c>
      <c r="AB79" s="23">
        <v>5</v>
      </c>
      <c r="AC79" s="23">
        <v>1</v>
      </c>
      <c r="AD79" s="23">
        <v>5</v>
      </c>
      <c r="AE79" s="23">
        <v>1</v>
      </c>
      <c r="AF79" s="23">
        <v>3</v>
      </c>
      <c r="AG79" s="23">
        <v>5</v>
      </c>
      <c r="AH79" s="22">
        <f>(AA79*$AA$2)+(AB79*$AB$2)+(AC79*$AC$2)+(AD79*$AD$2)+(AE79*$AE$2)+(AF79*$AF$2)+(AG79*$AG$2)</f>
        <v>345</v>
      </c>
      <c r="AI79" s="23">
        <v>5</v>
      </c>
      <c r="AJ79" s="23">
        <v>5</v>
      </c>
      <c r="AK79" s="23">
        <v>5</v>
      </c>
      <c r="AL79" s="23">
        <v>3</v>
      </c>
      <c r="AM79" s="23">
        <v>5</v>
      </c>
      <c r="AN79" s="23">
        <v>5</v>
      </c>
      <c r="AO79" s="23">
        <v>5</v>
      </c>
      <c r="AP79" s="21">
        <f>(AI79*$AI$2)+(AJ79*$AJ$2)+(AK79*$AK$2)+(AL79*$AL$2)+(AM79*$AM$2)+(AN79*$AN$2)+(AO79*$AO$2)</f>
        <v>495</v>
      </c>
      <c r="AQ79" s="21">
        <f>AP79+AH79</f>
        <v>840</v>
      </c>
      <c r="AR79" s="20" t="s">
        <v>703</v>
      </c>
      <c r="AS79" s="80" t="s">
        <v>58</v>
      </c>
      <c r="AT79" s="18">
        <v>75000</v>
      </c>
      <c r="AU79" s="23"/>
      <c r="AV79" s="17" t="s">
        <v>258</v>
      </c>
      <c r="AW79" s="23"/>
      <c r="AX79" s="23"/>
      <c r="AY79" s="23"/>
      <c r="AZ79" s="23"/>
      <c r="BA79" s="23"/>
      <c r="BB79" s="23"/>
      <c r="BC79" s="23"/>
      <c r="BD79" s="52">
        <f>SUM(AX79:BC79)</f>
        <v>0</v>
      </c>
      <c r="BE79" s="174"/>
      <c r="BF79" s="174"/>
      <c r="BG79" s="23" t="s">
        <v>58</v>
      </c>
      <c r="BH79" s="51" t="s">
        <v>702</v>
      </c>
    </row>
    <row r="80" spans="1:173" s="51" customFormat="1" ht="37.5" customHeight="1">
      <c r="A80" s="21"/>
      <c r="B80" s="21">
        <v>7</v>
      </c>
      <c r="C80" s="16"/>
      <c r="D80" s="100"/>
      <c r="E80" s="69" t="s">
        <v>701</v>
      </c>
      <c r="F80" s="69" t="s">
        <v>700</v>
      </c>
      <c r="G80" s="69" t="s">
        <v>699</v>
      </c>
      <c r="H80" s="99">
        <v>43617</v>
      </c>
      <c r="I80" s="99">
        <v>45827</v>
      </c>
      <c r="J80" s="99">
        <v>45868</v>
      </c>
      <c r="K80" s="54">
        <f>J80-I80</f>
        <v>41</v>
      </c>
      <c r="L80" s="72" t="s">
        <v>14</v>
      </c>
      <c r="M80" s="70" t="s">
        <v>60</v>
      </c>
      <c r="N80" s="25" t="s">
        <v>59</v>
      </c>
      <c r="O80" s="23" t="s">
        <v>32</v>
      </c>
      <c r="P80" s="23" t="s">
        <v>58</v>
      </c>
      <c r="Q80" s="16" t="s">
        <v>57</v>
      </c>
      <c r="R80" s="23" t="s">
        <v>170</v>
      </c>
      <c r="S80" s="23" t="s">
        <v>698</v>
      </c>
      <c r="T80" s="23" t="s">
        <v>168</v>
      </c>
      <c r="U80" s="23" t="s">
        <v>8</v>
      </c>
      <c r="V80" s="23" t="s">
        <v>56</v>
      </c>
      <c r="W80" s="23" t="s">
        <v>6</v>
      </c>
      <c r="X80" s="21" t="s">
        <v>5</v>
      </c>
      <c r="Y80" s="21" t="s">
        <v>4</v>
      </c>
      <c r="Z80" s="88" t="s">
        <v>18</v>
      </c>
      <c r="AA80" s="21">
        <v>5</v>
      </c>
      <c r="AB80" s="21">
        <v>5</v>
      </c>
      <c r="AC80" s="21">
        <v>4</v>
      </c>
      <c r="AD80" s="21">
        <v>5</v>
      </c>
      <c r="AE80" s="21">
        <v>5</v>
      </c>
      <c r="AF80" s="21">
        <v>3</v>
      </c>
      <c r="AG80" s="21">
        <v>5</v>
      </c>
      <c r="AH80" s="22">
        <f>(AA80*$AA$2)+(AB80*$AB$2)+(AC80*$AC$2)+(AD80*$AD$2)+(AE80*$AE$2)+(AF80*$AF$2)+(AG80*$AG$2)</f>
        <v>480</v>
      </c>
      <c r="AI80" s="21">
        <v>5</v>
      </c>
      <c r="AJ80" s="21">
        <v>5</v>
      </c>
      <c r="AK80" s="21">
        <v>4</v>
      </c>
      <c r="AL80" s="21">
        <v>3</v>
      </c>
      <c r="AM80" s="21">
        <v>3</v>
      </c>
      <c r="AN80" s="21">
        <v>5</v>
      </c>
      <c r="AO80" s="21">
        <v>5</v>
      </c>
      <c r="AP80" s="21">
        <f>(AI80*$AI$2)+(AJ80*$AJ$2)+(AK80*$AK$2)+(AL80*$AL$2)+(AM80*$AM$2)+(AN80*$AN$2)+(AO80*$AO$2)</f>
        <v>450</v>
      </c>
      <c r="AQ80" s="21">
        <f>AP80+AH80</f>
        <v>930</v>
      </c>
      <c r="AR80" s="80" t="s">
        <v>697</v>
      </c>
      <c r="AS80" s="80"/>
      <c r="AT80" s="18" t="s">
        <v>166</v>
      </c>
      <c r="AU80" s="17"/>
      <c r="AV80" s="23" t="s">
        <v>54</v>
      </c>
      <c r="AW80" s="17"/>
      <c r="AX80" s="17"/>
      <c r="AY80" s="17"/>
      <c r="AZ80" s="17"/>
      <c r="BA80" s="17"/>
      <c r="BB80" s="17"/>
      <c r="BC80" s="17"/>
      <c r="BD80" s="52">
        <f>SUM(AX80:BC80)</f>
        <v>0</v>
      </c>
      <c r="BE80" s="17"/>
      <c r="BF80" s="17"/>
      <c r="BG80" s="16" t="s">
        <v>58</v>
      </c>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9"/>
    </row>
    <row r="81" spans="1:173" ht="64" customHeight="1">
      <c r="A81" s="21"/>
      <c r="B81" s="21"/>
      <c r="C81" s="32"/>
      <c r="D81" s="21"/>
      <c r="E81" s="69" t="s">
        <v>696</v>
      </c>
      <c r="F81" s="69" t="s">
        <v>695</v>
      </c>
      <c r="G81" s="69" t="s">
        <v>694</v>
      </c>
      <c r="H81" s="29">
        <v>45966</v>
      </c>
      <c r="I81" s="29">
        <v>45967</v>
      </c>
      <c r="J81" s="29">
        <v>45989</v>
      </c>
      <c r="K81" s="54">
        <f>J81-I81</f>
        <v>22</v>
      </c>
      <c r="L81" s="47" t="s">
        <v>14</v>
      </c>
      <c r="M81" s="26" t="s">
        <v>6</v>
      </c>
      <c r="N81" s="25"/>
      <c r="O81" s="23" t="s">
        <v>13</v>
      </c>
      <c r="P81" s="23" t="s">
        <v>58</v>
      </c>
      <c r="Q81" s="23"/>
      <c r="R81" s="23" t="s">
        <v>126</v>
      </c>
      <c r="S81" s="23" t="s">
        <v>92</v>
      </c>
      <c r="T81" s="23" t="s">
        <v>49</v>
      </c>
      <c r="U81" s="23"/>
      <c r="V81" s="23"/>
      <c r="W81" s="23"/>
      <c r="X81" s="21" t="s">
        <v>5</v>
      </c>
      <c r="Y81" s="21" t="s">
        <v>126</v>
      </c>
      <c r="Z81" s="23" t="s">
        <v>3</v>
      </c>
      <c r="AA81" s="22"/>
      <c r="AB81" s="22"/>
      <c r="AC81" s="22"/>
      <c r="AD81" s="22"/>
      <c r="AE81" s="22"/>
      <c r="AF81" s="22"/>
      <c r="AG81" s="22"/>
      <c r="AH81" s="22">
        <f>(AA81*$AA$2)+(AB81*$AB$2)+(AC81*$AC$2)+(AD81*$AD$2)+(AE81*$AE$2)+(AF81*$AF$2)+(AG81*$AG$2)</f>
        <v>0</v>
      </c>
      <c r="AI81" s="22"/>
      <c r="AJ81" s="22"/>
      <c r="AK81" s="22"/>
      <c r="AL81" s="22"/>
      <c r="AM81" s="22"/>
      <c r="AN81" s="22"/>
      <c r="AO81" s="22"/>
      <c r="AP81" s="21">
        <f>(AI81*$AI$2)+(AJ81*$AJ$2)+(AK81*$AK$2)+(AL81*$AL$2)+(AM81*$AM$2)+(AN81*$AN$2)+(AO81*$AO$2)</f>
        <v>0</v>
      </c>
      <c r="AQ81" s="21"/>
      <c r="AR81" s="20"/>
      <c r="AS81" s="20"/>
      <c r="AT81" s="18" t="s">
        <v>693</v>
      </c>
      <c r="AU81" s="17"/>
      <c r="AV81" s="17"/>
      <c r="AW81" s="17"/>
      <c r="AX81" s="17"/>
      <c r="AY81" s="17"/>
      <c r="AZ81" s="17"/>
      <c r="BA81" s="17"/>
      <c r="BB81" s="17"/>
      <c r="BC81" s="17"/>
      <c r="BD81" s="17"/>
      <c r="BE81" s="17"/>
      <c r="BF81" s="17"/>
      <c r="BG81" s="16" t="s">
        <v>53</v>
      </c>
      <c r="BH81" s="48"/>
    </row>
    <row r="82" spans="1:173" s="50" customFormat="1" ht="51" customHeight="1">
      <c r="A82" s="21"/>
      <c r="B82" s="21">
        <v>63</v>
      </c>
      <c r="C82" s="166"/>
      <c r="D82" s="21"/>
      <c r="E82" s="69" t="s">
        <v>692</v>
      </c>
      <c r="F82" s="69" t="s">
        <v>691</v>
      </c>
      <c r="G82" s="69"/>
      <c r="H82" s="29">
        <v>45748</v>
      </c>
      <c r="I82" s="73">
        <v>45748</v>
      </c>
      <c r="J82" s="73">
        <v>45931</v>
      </c>
      <c r="K82" s="54"/>
      <c r="L82" s="72" t="s">
        <v>70</v>
      </c>
      <c r="M82" s="16" t="s">
        <v>196</v>
      </c>
      <c r="N82" s="25"/>
      <c r="O82" s="23" t="s">
        <v>13</v>
      </c>
      <c r="P82" s="23" t="s">
        <v>68</v>
      </c>
      <c r="Q82" s="23"/>
      <c r="R82" s="23" t="s">
        <v>19</v>
      </c>
      <c r="S82" s="23" t="s">
        <v>363</v>
      </c>
      <c r="T82" s="23" t="s">
        <v>363</v>
      </c>
      <c r="U82" s="23"/>
      <c r="V82" s="23"/>
      <c r="W82" s="143" t="s">
        <v>27</v>
      </c>
      <c r="X82" s="21" t="s">
        <v>5</v>
      </c>
      <c r="Y82" s="23" t="s">
        <v>126</v>
      </c>
      <c r="Z82" s="101"/>
      <c r="AA82" s="21">
        <v>5</v>
      </c>
      <c r="AB82" s="21">
        <v>5</v>
      </c>
      <c r="AC82" s="21">
        <v>5</v>
      </c>
      <c r="AD82" s="21">
        <v>5</v>
      </c>
      <c r="AE82" s="21">
        <v>3</v>
      </c>
      <c r="AF82" s="21">
        <v>5</v>
      </c>
      <c r="AG82" s="21">
        <v>5</v>
      </c>
      <c r="AH82" s="22">
        <f>(AA82*$AA$2)+(AB82*$AB$2)+(AC82*$AC$2)+(AD82*$AD$2)+(AE82*$AE$2)+(AF82*$AF$2)+(AG82*$AG$2)</f>
        <v>495</v>
      </c>
      <c r="AI82" s="21">
        <v>3</v>
      </c>
      <c r="AJ82" s="21">
        <v>3</v>
      </c>
      <c r="AK82" s="21">
        <v>2</v>
      </c>
      <c r="AL82" s="21">
        <v>5</v>
      </c>
      <c r="AM82" s="21">
        <v>1</v>
      </c>
      <c r="AN82" s="21">
        <v>1</v>
      </c>
      <c r="AO82" s="21">
        <v>1</v>
      </c>
      <c r="AP82" s="21">
        <f>(AI82*$AI$2)+(AJ82*$AJ$2)+(AK82*$AK$2)+(AL82*$AL$2)+(AM82*$AM$2)+(AN82*$AN$2)+(AO82*$AO$2)</f>
        <v>240</v>
      </c>
      <c r="AQ82" s="21">
        <f>AP82+AH82</f>
        <v>735</v>
      </c>
      <c r="AR82" s="80" t="s">
        <v>690</v>
      </c>
      <c r="AS82" s="80"/>
      <c r="AT82" s="18" t="s">
        <v>166</v>
      </c>
      <c r="AU82" s="17"/>
      <c r="AV82" s="17"/>
      <c r="AW82" s="17"/>
      <c r="AX82" s="17"/>
      <c r="AY82" s="17"/>
      <c r="AZ82" s="17"/>
      <c r="BA82" s="17"/>
      <c r="BB82" s="17"/>
      <c r="BC82" s="17"/>
      <c r="BD82" s="52">
        <f>SUM(AX82:BC82)</f>
        <v>0</v>
      </c>
      <c r="BE82" s="17"/>
      <c r="BF82" s="17"/>
      <c r="BG82" s="16" t="s">
        <v>475</v>
      </c>
      <c r="BH82" s="48"/>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row>
    <row r="83" spans="1:173" ht="43.5" customHeight="1">
      <c r="A83" s="21"/>
      <c r="B83" s="21">
        <v>62</v>
      </c>
      <c r="C83" s="21"/>
      <c r="D83" s="21"/>
      <c r="E83" s="69" t="s">
        <v>689</v>
      </c>
      <c r="F83" s="69" t="s">
        <v>688</v>
      </c>
      <c r="G83" s="69"/>
      <c r="H83" s="29">
        <v>45658</v>
      </c>
      <c r="I83" s="73">
        <v>45659</v>
      </c>
      <c r="J83" s="73">
        <v>45809</v>
      </c>
      <c r="K83" s="54"/>
      <c r="L83" s="47" t="s">
        <v>70</v>
      </c>
      <c r="M83" s="67" t="s">
        <v>60</v>
      </c>
      <c r="N83" s="67"/>
      <c r="O83" s="23" t="s">
        <v>13</v>
      </c>
      <c r="P83" s="23" t="s">
        <v>68</v>
      </c>
      <c r="Q83" s="23" t="s">
        <v>57</v>
      </c>
      <c r="R83" s="23" t="s">
        <v>163</v>
      </c>
      <c r="S83" s="23" t="s">
        <v>37</v>
      </c>
      <c r="T83" s="23" t="s">
        <v>37</v>
      </c>
      <c r="U83" s="23" t="s">
        <v>126</v>
      </c>
      <c r="V83" s="23" t="s">
        <v>66</v>
      </c>
      <c r="W83" s="23" t="s">
        <v>286</v>
      </c>
      <c r="X83" s="21" t="s">
        <v>5</v>
      </c>
      <c r="Y83" s="23" t="s">
        <v>126</v>
      </c>
      <c r="Z83" s="23" t="s">
        <v>147</v>
      </c>
      <c r="AA83" s="23">
        <v>3</v>
      </c>
      <c r="AB83" s="23">
        <v>5</v>
      </c>
      <c r="AC83" s="23">
        <v>1</v>
      </c>
      <c r="AD83" s="23">
        <v>5</v>
      </c>
      <c r="AE83" s="23">
        <v>3</v>
      </c>
      <c r="AF83" s="23">
        <v>5</v>
      </c>
      <c r="AG83" s="23">
        <v>3</v>
      </c>
      <c r="AH83" s="22">
        <f>(AA83*$AA$2)+(AB83*$AB$2)+(AC83*$AC$2)+(AD83*$AD$2)+(AE83*$AE$2)+(AF83*$AF$2)+(AG83*$AG$2)</f>
        <v>375</v>
      </c>
      <c r="AI83" s="23">
        <v>5</v>
      </c>
      <c r="AJ83" s="23">
        <v>5</v>
      </c>
      <c r="AK83" s="23">
        <v>2</v>
      </c>
      <c r="AL83" s="23">
        <v>3</v>
      </c>
      <c r="AM83" s="23">
        <v>3</v>
      </c>
      <c r="AN83" s="23">
        <v>3</v>
      </c>
      <c r="AO83" s="23">
        <v>3</v>
      </c>
      <c r="AP83" s="21">
        <f>(AI83*$AI$2)+(AJ83*$AJ$2)+(AK83*$AK$2)+(AL83*$AL$2)+(AM83*$AM$2)+(AN83*$AN$2)+(AO83*$AO$2)</f>
        <v>360</v>
      </c>
      <c r="AQ83" s="23">
        <f>AP83+AH83</f>
        <v>735</v>
      </c>
      <c r="AR83" s="20" t="s">
        <v>687</v>
      </c>
      <c r="AS83" s="20" t="s">
        <v>686</v>
      </c>
      <c r="AT83" s="18">
        <v>50000</v>
      </c>
      <c r="AU83" s="17"/>
      <c r="AV83" s="17" t="s">
        <v>685</v>
      </c>
      <c r="AW83" s="17"/>
      <c r="AX83" s="17"/>
      <c r="AY83" s="17"/>
      <c r="AZ83" s="17"/>
      <c r="BA83" s="17"/>
      <c r="BB83" s="17"/>
      <c r="BC83" s="17"/>
      <c r="BD83" s="52">
        <f>SUM(AX83:BC83)</f>
        <v>0</v>
      </c>
      <c r="BE83" s="148">
        <v>45870</v>
      </c>
      <c r="BF83" s="77"/>
      <c r="BG83" s="16" t="s">
        <v>70</v>
      </c>
      <c r="BH83" s="101"/>
    </row>
    <row r="84" spans="1:173" s="50" customFormat="1" ht="37.5" customHeight="1">
      <c r="A84" s="21"/>
      <c r="B84" s="21">
        <v>65</v>
      </c>
      <c r="C84" s="21"/>
      <c r="D84" s="21"/>
      <c r="E84" s="69" t="s">
        <v>684</v>
      </c>
      <c r="F84" s="69" t="s">
        <v>683</v>
      </c>
      <c r="G84" s="69"/>
      <c r="H84" s="29" t="s">
        <v>107</v>
      </c>
      <c r="I84" s="73"/>
      <c r="J84" s="73"/>
      <c r="K84" s="54"/>
      <c r="L84" s="47" t="s">
        <v>70</v>
      </c>
      <c r="M84" s="67" t="s">
        <v>196</v>
      </c>
      <c r="N84" s="67"/>
      <c r="O84" s="23" t="s">
        <v>50</v>
      </c>
      <c r="P84" s="23" t="s">
        <v>68</v>
      </c>
      <c r="Q84" s="23" t="s">
        <v>11</v>
      </c>
      <c r="R84" s="23"/>
      <c r="S84" s="23" t="s">
        <v>37</v>
      </c>
      <c r="T84" s="23" t="s">
        <v>163</v>
      </c>
      <c r="U84" s="23" t="s">
        <v>482</v>
      </c>
      <c r="V84" s="23" t="s">
        <v>66</v>
      </c>
      <c r="W84" s="23" t="s">
        <v>6</v>
      </c>
      <c r="X84" s="21" t="s">
        <v>5</v>
      </c>
      <c r="Y84" s="23" t="s">
        <v>126</v>
      </c>
      <c r="Z84" s="23" t="s">
        <v>3</v>
      </c>
      <c r="AA84" s="23">
        <v>5</v>
      </c>
      <c r="AB84" s="23">
        <v>5</v>
      </c>
      <c r="AC84" s="23">
        <v>3</v>
      </c>
      <c r="AD84" s="23">
        <v>5</v>
      </c>
      <c r="AE84" s="23">
        <v>3</v>
      </c>
      <c r="AF84" s="23">
        <v>1</v>
      </c>
      <c r="AG84" s="23">
        <v>3</v>
      </c>
      <c r="AH84" s="22">
        <f>(AA84*$AA$2)+(AB84*$AB$2)+(AC84*$AC$2)+(AD84*$AD$2)+(AE84*$AE$2)+(AF84*$AF$2)+(AG84*$AG$2)</f>
        <v>375</v>
      </c>
      <c r="AI84" s="23">
        <v>5</v>
      </c>
      <c r="AJ84" s="23">
        <v>5</v>
      </c>
      <c r="AK84" s="23">
        <v>2</v>
      </c>
      <c r="AL84" s="23">
        <v>3</v>
      </c>
      <c r="AM84" s="23">
        <v>3</v>
      </c>
      <c r="AN84" s="23">
        <v>3</v>
      </c>
      <c r="AO84" s="23">
        <v>3</v>
      </c>
      <c r="AP84" s="21">
        <f>(AI84*$AI$2)+(AJ84*$AJ$2)+(AK84*$AK$2)+(AL84*$AL$2)+(AM84*$AM$2)+(AN84*$AN$2)+(AO84*$AO$2)</f>
        <v>360</v>
      </c>
      <c r="AQ84" s="23">
        <f>AP84+AH84</f>
        <v>735</v>
      </c>
      <c r="AR84" s="20" t="s">
        <v>682</v>
      </c>
      <c r="AS84" s="20" t="s">
        <v>681</v>
      </c>
      <c r="AT84" s="18">
        <v>100000</v>
      </c>
      <c r="AU84" s="17"/>
      <c r="AV84" s="17" t="s">
        <v>680</v>
      </c>
      <c r="AW84" s="17"/>
      <c r="AX84" s="17"/>
      <c r="AY84" s="17"/>
      <c r="AZ84" s="17"/>
      <c r="BA84" s="17"/>
      <c r="BB84" s="17"/>
      <c r="BC84" s="17"/>
      <c r="BD84" s="52">
        <f>SUM(AX84:BC84)</f>
        <v>0</v>
      </c>
      <c r="BE84" s="17"/>
      <c r="BF84" s="17"/>
      <c r="BG84" s="16" t="s">
        <v>0</v>
      </c>
      <c r="BH84" s="48"/>
    </row>
    <row r="85" spans="1:173" ht="78">
      <c r="A85" s="21"/>
      <c r="B85" s="21">
        <v>58</v>
      </c>
      <c r="C85" s="97"/>
      <c r="D85" s="21"/>
      <c r="E85" s="69" t="s">
        <v>679</v>
      </c>
      <c r="F85" s="69" t="s">
        <v>678</v>
      </c>
      <c r="G85" s="69" t="s">
        <v>677</v>
      </c>
      <c r="H85" s="29">
        <v>45627</v>
      </c>
      <c r="I85" s="73"/>
      <c r="J85" s="73"/>
      <c r="K85" s="54"/>
      <c r="L85" s="47" t="s">
        <v>39</v>
      </c>
      <c r="M85" s="26" t="s">
        <v>38</v>
      </c>
      <c r="N85" s="25"/>
      <c r="O85" s="23" t="s">
        <v>13</v>
      </c>
      <c r="P85" s="23" t="s">
        <v>12</v>
      </c>
      <c r="Q85" s="23" t="s">
        <v>57</v>
      </c>
      <c r="R85" s="23"/>
      <c r="S85" s="23" t="s">
        <v>109</v>
      </c>
      <c r="T85" s="23" t="s">
        <v>109</v>
      </c>
      <c r="U85" s="23" t="s">
        <v>31</v>
      </c>
      <c r="V85" s="23" t="s">
        <v>66</v>
      </c>
      <c r="W85" s="23" t="s">
        <v>552</v>
      </c>
      <c r="X85" s="21" t="s">
        <v>5</v>
      </c>
      <c r="Y85" s="21" t="s">
        <v>42</v>
      </c>
      <c r="Z85" s="23" t="s">
        <v>18</v>
      </c>
      <c r="AA85" s="22">
        <v>3</v>
      </c>
      <c r="AB85" s="22">
        <v>5</v>
      </c>
      <c r="AC85" s="22">
        <v>1</v>
      </c>
      <c r="AD85" s="22">
        <v>5</v>
      </c>
      <c r="AE85" s="22">
        <v>0</v>
      </c>
      <c r="AF85" s="22">
        <v>1</v>
      </c>
      <c r="AG85" s="22">
        <v>5</v>
      </c>
      <c r="AH85" s="22">
        <f>(AA85*$AA$2)+(AB85*$AB$2)+(AC85*$AC$2)+(AD85*$AD$2)+(AE85*$AE$2)+(AF85*$AF$2)+(AG85*$AG$2)</f>
        <v>300</v>
      </c>
      <c r="AI85" s="22">
        <v>5</v>
      </c>
      <c r="AJ85" s="22">
        <v>5</v>
      </c>
      <c r="AK85" s="22">
        <v>3</v>
      </c>
      <c r="AL85" s="22">
        <v>3</v>
      </c>
      <c r="AM85" s="22">
        <v>3</v>
      </c>
      <c r="AN85" s="22">
        <v>5</v>
      </c>
      <c r="AO85" s="22">
        <v>5</v>
      </c>
      <c r="AP85" s="21">
        <f>(AI85*$AI$2)+(AJ85*$AJ$2)+(AK85*$AK$2)+(AL85*$AL$2)+(AM85*$AM$2)+(AN85*$AN$2)+(AO85*$AO$2)</f>
        <v>435</v>
      </c>
      <c r="AQ85" s="21">
        <f>AP85+AH85</f>
        <v>735</v>
      </c>
      <c r="AR85" s="20" t="s">
        <v>676</v>
      </c>
      <c r="AS85" s="20" t="s">
        <v>675</v>
      </c>
      <c r="AT85" s="18"/>
      <c r="AU85" s="17"/>
      <c r="AV85" s="17" t="s">
        <v>674</v>
      </c>
      <c r="AW85" s="17"/>
      <c r="AX85" s="17"/>
      <c r="AY85" s="17"/>
      <c r="AZ85" s="17"/>
      <c r="BA85" s="17"/>
      <c r="BB85" s="17"/>
      <c r="BC85" s="17"/>
      <c r="BD85" s="52">
        <f>SUM(AX85:BC85)</f>
        <v>0</v>
      </c>
      <c r="BE85" s="17"/>
      <c r="BF85" s="17"/>
      <c r="BG85" s="16" t="s">
        <v>0</v>
      </c>
      <c r="BH85" s="106" t="s">
        <v>673</v>
      </c>
      <c r="BK85" s="108"/>
      <c r="BL85" s="108"/>
      <c r="BM85" s="108"/>
      <c r="BN85" s="108"/>
      <c r="BO85" s="108"/>
      <c r="BP85" s="108"/>
      <c r="BQ85" s="108"/>
      <c r="BR85" s="108"/>
      <c r="BS85" s="108"/>
      <c r="BT85" s="108"/>
      <c r="BU85" s="108"/>
      <c r="BV85" s="108"/>
      <c r="BW85" s="108"/>
      <c r="BX85" s="108"/>
      <c r="BY85" s="108"/>
      <c r="BZ85" s="108"/>
      <c r="CA85" s="108"/>
      <c r="CB85" s="108"/>
      <c r="CC85" s="108"/>
      <c r="CD85" s="108"/>
      <c r="CE85" s="108"/>
      <c r="CF85" s="108"/>
      <c r="CG85" s="108"/>
      <c r="CH85" s="108"/>
      <c r="CI85" s="108"/>
      <c r="CJ85" s="108"/>
      <c r="CK85" s="108"/>
      <c r="CL85" s="108"/>
      <c r="CM85" s="108"/>
      <c r="CN85" s="108"/>
      <c r="CO85" s="108"/>
      <c r="CP85" s="108"/>
      <c r="CQ85" s="108"/>
      <c r="CR85" s="108"/>
      <c r="CS85" s="108"/>
      <c r="CT85" s="108"/>
      <c r="CU85" s="108"/>
      <c r="CV85" s="108"/>
      <c r="CW85" s="108"/>
      <c r="CX85" s="108"/>
      <c r="CY85" s="108"/>
      <c r="CZ85" s="108"/>
      <c r="DA85" s="108"/>
      <c r="DB85" s="108"/>
      <c r="DC85" s="108"/>
      <c r="DD85" s="108"/>
      <c r="DE85" s="108"/>
      <c r="DF85" s="108"/>
      <c r="DG85" s="108"/>
      <c r="DH85" s="108"/>
      <c r="DI85" s="108"/>
      <c r="DJ85" s="108"/>
      <c r="DK85" s="108"/>
      <c r="DL85" s="108"/>
      <c r="DM85" s="108"/>
      <c r="DN85" s="108"/>
      <c r="DO85" s="108"/>
      <c r="DP85" s="108"/>
      <c r="DQ85" s="108"/>
      <c r="DR85" s="108"/>
      <c r="DS85" s="108"/>
      <c r="DT85" s="108"/>
      <c r="DU85" s="108"/>
      <c r="DV85" s="108"/>
      <c r="DW85" s="108"/>
      <c r="DX85" s="108"/>
      <c r="DY85" s="108"/>
      <c r="DZ85" s="108"/>
      <c r="EA85" s="108"/>
      <c r="EB85" s="108"/>
      <c r="EC85" s="108"/>
      <c r="ED85" s="108"/>
      <c r="EE85" s="108"/>
      <c r="EF85" s="108"/>
      <c r="EG85" s="108"/>
      <c r="EH85" s="108"/>
      <c r="EI85" s="108"/>
      <c r="EJ85" s="108"/>
      <c r="EK85" s="108"/>
      <c r="EL85" s="108"/>
      <c r="EM85" s="108"/>
      <c r="EN85" s="108"/>
      <c r="EO85" s="108"/>
      <c r="EP85" s="108"/>
      <c r="EQ85" s="108"/>
      <c r="ER85" s="108"/>
      <c r="ES85" s="108"/>
      <c r="ET85" s="108"/>
      <c r="EU85" s="108"/>
      <c r="EV85" s="108"/>
      <c r="EW85" s="108"/>
      <c r="EX85" s="108"/>
      <c r="EY85" s="108"/>
      <c r="EZ85" s="108"/>
      <c r="FA85" s="108"/>
      <c r="FB85" s="108"/>
      <c r="FC85" s="108"/>
      <c r="FD85" s="108"/>
      <c r="FE85" s="108"/>
      <c r="FF85" s="108"/>
      <c r="FG85" s="108"/>
      <c r="FH85" s="108"/>
      <c r="FI85" s="108"/>
      <c r="FJ85" s="108"/>
      <c r="FK85" s="108"/>
      <c r="FL85" s="108"/>
      <c r="FM85" s="108"/>
      <c r="FN85" s="108"/>
      <c r="FO85" s="108"/>
      <c r="FP85" s="108"/>
      <c r="FQ85" s="108"/>
    </row>
    <row r="86" spans="1:173" s="113" customFormat="1" ht="46" customHeight="1">
      <c r="A86" s="21"/>
      <c r="B86" s="21">
        <v>76</v>
      </c>
      <c r="C86" s="21"/>
      <c r="D86" s="21"/>
      <c r="E86" s="69" t="s">
        <v>672</v>
      </c>
      <c r="F86" s="69" t="s">
        <v>671</v>
      </c>
      <c r="G86" s="69"/>
      <c r="H86" s="29">
        <v>45962</v>
      </c>
      <c r="I86" s="73"/>
      <c r="J86" s="73"/>
      <c r="K86" s="54"/>
      <c r="L86" s="47" t="s">
        <v>39</v>
      </c>
      <c r="M86" s="26" t="s">
        <v>38</v>
      </c>
      <c r="N86" s="25"/>
      <c r="O86" s="23" t="s">
        <v>69</v>
      </c>
      <c r="P86" s="23" t="s">
        <v>12</v>
      </c>
      <c r="Q86" s="23" t="s">
        <v>57</v>
      </c>
      <c r="R86" s="23"/>
      <c r="S86" s="23" t="s">
        <v>37</v>
      </c>
      <c r="T86" s="23" t="s">
        <v>37</v>
      </c>
      <c r="U86" s="23" t="s">
        <v>508</v>
      </c>
      <c r="V86" s="23" t="s">
        <v>66</v>
      </c>
      <c r="W86" s="143"/>
      <c r="X86" s="21" t="s">
        <v>5</v>
      </c>
      <c r="Y86" s="23" t="s">
        <v>126</v>
      </c>
      <c r="Z86" s="23" t="s">
        <v>18</v>
      </c>
      <c r="AA86" s="21">
        <v>3</v>
      </c>
      <c r="AB86" s="21">
        <v>5</v>
      </c>
      <c r="AC86" s="21">
        <v>3</v>
      </c>
      <c r="AD86" s="21">
        <v>5</v>
      </c>
      <c r="AE86" s="21">
        <v>1</v>
      </c>
      <c r="AF86" s="21">
        <v>1</v>
      </c>
      <c r="AG86" s="21">
        <v>3</v>
      </c>
      <c r="AH86" s="22">
        <f>(AA86*$AA$2)+(AB86*$AB$2)+(AC86*$AC$2)+(AD86*$AD$2)+(AE86*$AE$2)+(AF86*$AF$2)+(AG86*$AG$2)</f>
        <v>315</v>
      </c>
      <c r="AI86" s="21">
        <v>5</v>
      </c>
      <c r="AJ86" s="21">
        <v>5</v>
      </c>
      <c r="AK86" s="21">
        <v>2</v>
      </c>
      <c r="AL86" s="21">
        <v>5</v>
      </c>
      <c r="AM86" s="21">
        <v>3</v>
      </c>
      <c r="AN86" s="21">
        <v>3</v>
      </c>
      <c r="AO86" s="21">
        <v>5</v>
      </c>
      <c r="AP86" s="21">
        <f>(AI86*$AI$2)+(AJ86*$AJ$2)+(AK86*$AK$2)+(AL86*$AL$2)+(AM86*$AM$2)+(AN86*$AN$2)+(AO86*$AO$2)</f>
        <v>420</v>
      </c>
      <c r="AQ86" s="21">
        <f>AP86+AH86</f>
        <v>735</v>
      </c>
      <c r="AR86" s="106" t="s">
        <v>670</v>
      </c>
      <c r="AS86" s="106"/>
      <c r="AT86" s="18"/>
      <c r="AU86" s="21"/>
      <c r="AV86" s="21"/>
      <c r="AW86" s="21"/>
      <c r="AX86" s="21"/>
      <c r="AY86" s="21"/>
      <c r="AZ86" s="21"/>
      <c r="BA86" s="21"/>
      <c r="BB86" s="21"/>
      <c r="BC86" s="21"/>
      <c r="BD86" s="52">
        <f>SUM(AX86:BC86)</f>
        <v>0</v>
      </c>
      <c r="BE86" s="21"/>
      <c r="BF86" s="37"/>
      <c r="BG86" s="16" t="s">
        <v>0</v>
      </c>
      <c r="BH86" s="5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row>
    <row r="87" spans="1:173" s="113" customFormat="1" ht="34.5" customHeight="1">
      <c r="A87" s="21"/>
      <c r="B87" s="21">
        <v>126</v>
      </c>
      <c r="C87" s="21"/>
      <c r="D87" s="21"/>
      <c r="E87" s="69" t="s">
        <v>669</v>
      </c>
      <c r="F87" s="69" t="s">
        <v>668</v>
      </c>
      <c r="G87" s="69" t="s">
        <v>667</v>
      </c>
      <c r="H87" s="29">
        <v>45627</v>
      </c>
      <c r="I87" s="29"/>
      <c r="J87" s="54"/>
      <c r="K87" s="54"/>
      <c r="L87" s="47" t="s">
        <v>39</v>
      </c>
      <c r="M87" s="26" t="s">
        <v>38</v>
      </c>
      <c r="N87" s="25"/>
      <c r="O87" s="23" t="s">
        <v>50</v>
      </c>
      <c r="P87" s="23" t="s">
        <v>12</v>
      </c>
      <c r="Q87" s="23" t="s">
        <v>179</v>
      </c>
      <c r="R87" s="23"/>
      <c r="S87" s="23" t="s">
        <v>37</v>
      </c>
      <c r="T87" s="23" t="s">
        <v>49</v>
      </c>
      <c r="U87" s="23"/>
      <c r="V87" s="23" t="s">
        <v>28</v>
      </c>
      <c r="W87" s="23"/>
      <c r="X87" s="21" t="s">
        <v>5</v>
      </c>
      <c r="Y87" s="21" t="s">
        <v>42</v>
      </c>
      <c r="Z87" s="23" t="s">
        <v>18</v>
      </c>
      <c r="AA87" s="21">
        <v>4</v>
      </c>
      <c r="AB87" s="21">
        <v>5</v>
      </c>
      <c r="AC87" s="21">
        <v>3</v>
      </c>
      <c r="AD87" s="21">
        <v>5</v>
      </c>
      <c r="AE87" s="21">
        <v>4</v>
      </c>
      <c r="AF87" s="21">
        <v>3</v>
      </c>
      <c r="AG87" s="21">
        <v>3</v>
      </c>
      <c r="AH87" s="22">
        <f>(AA87*$AA$2)+(AB87*$AB$2)+(AC87*$AC$2)+(AD87*$AD$2)+(AE87*$AE$2)+(AF87*$AF$2)+(AG87*$AG$2)</f>
        <v>405</v>
      </c>
      <c r="AI87" s="21">
        <v>4</v>
      </c>
      <c r="AJ87" s="21">
        <v>3</v>
      </c>
      <c r="AK87" s="21">
        <v>3</v>
      </c>
      <c r="AL87" s="21">
        <v>3</v>
      </c>
      <c r="AM87" s="21">
        <v>3</v>
      </c>
      <c r="AN87" s="21">
        <v>3</v>
      </c>
      <c r="AO87" s="21">
        <v>3</v>
      </c>
      <c r="AP87" s="21">
        <f>(AI87*$AI$2)+(AJ87*$AJ$2)+(AK87*$AK$2)+(AL87*$AL$2)+(AM87*$AM$2)+(AN87*$AN$2)+(AO87*$AO$2)</f>
        <v>330</v>
      </c>
      <c r="AQ87" s="21">
        <f>AP87+AH87</f>
        <v>735</v>
      </c>
      <c r="AR87" s="20" t="s">
        <v>666</v>
      </c>
      <c r="AS87" s="69" t="s">
        <v>541</v>
      </c>
      <c r="AT87" s="18" t="s">
        <v>665</v>
      </c>
      <c r="AU87" s="21"/>
      <c r="AV87" s="23" t="s">
        <v>664</v>
      </c>
      <c r="AW87" s="23" t="s">
        <v>663</v>
      </c>
      <c r="AX87" s="21"/>
      <c r="AY87" s="21"/>
      <c r="AZ87" s="21"/>
      <c r="BA87" s="21"/>
      <c r="BB87" s="21"/>
      <c r="BC87" s="21"/>
      <c r="BD87" s="52">
        <f>SUM(AX87:BC87)</f>
        <v>0</v>
      </c>
      <c r="BE87" s="21"/>
      <c r="BF87" s="21"/>
      <c r="BG87" s="16" t="s">
        <v>0</v>
      </c>
      <c r="BH87" s="48"/>
      <c r="BI87" s="50"/>
      <c r="BJ87" s="50"/>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row>
    <row r="88" spans="1:173" s="113" customFormat="1" ht="46" customHeight="1">
      <c r="A88" s="21"/>
      <c r="B88" s="21">
        <v>17</v>
      </c>
      <c r="C88" s="166"/>
      <c r="D88" s="21"/>
      <c r="E88" s="69" t="s">
        <v>662</v>
      </c>
      <c r="F88" s="69" t="s">
        <v>661</v>
      </c>
      <c r="G88" s="69" t="s">
        <v>660</v>
      </c>
      <c r="H88" s="29">
        <v>45689</v>
      </c>
      <c r="I88" s="73">
        <v>45687</v>
      </c>
      <c r="J88" s="73" t="s">
        <v>107</v>
      </c>
      <c r="K88" s="17"/>
      <c r="L88" s="47" t="s">
        <v>112</v>
      </c>
      <c r="M88" s="105" t="s">
        <v>74</v>
      </c>
      <c r="N88" s="25"/>
      <c r="O88" s="23" t="s">
        <v>50</v>
      </c>
      <c r="P88" s="23" t="s">
        <v>33</v>
      </c>
      <c r="Q88" s="23" t="s">
        <v>179</v>
      </c>
      <c r="R88" s="23" t="s">
        <v>31</v>
      </c>
      <c r="S88" s="23" t="s">
        <v>109</v>
      </c>
      <c r="T88" s="23" t="s">
        <v>121</v>
      </c>
      <c r="U88" s="23" t="s">
        <v>659</v>
      </c>
      <c r="V88" s="23" t="s">
        <v>7</v>
      </c>
      <c r="W88" s="23" t="s">
        <v>658</v>
      </c>
      <c r="X88" s="21" t="s">
        <v>5</v>
      </c>
      <c r="Y88" s="21" t="s">
        <v>42</v>
      </c>
      <c r="Z88" s="88" t="s">
        <v>3</v>
      </c>
      <c r="AA88" s="21">
        <v>5</v>
      </c>
      <c r="AB88" s="21">
        <v>5</v>
      </c>
      <c r="AC88" s="21">
        <v>5</v>
      </c>
      <c r="AD88" s="21">
        <v>5</v>
      </c>
      <c r="AE88" s="21">
        <v>0</v>
      </c>
      <c r="AF88" s="21">
        <v>3</v>
      </c>
      <c r="AG88" s="21">
        <v>5</v>
      </c>
      <c r="AH88" s="22">
        <f>(AA88*$AA$2)+(AB88*$AB$2)+(AC88*$AC$2)+(AD88*$AD$2)+(AE88*$AE$2)+(AF88*$AF$2)+(AG88*$AG$2)</f>
        <v>420</v>
      </c>
      <c r="AI88" s="21"/>
      <c r="AJ88" s="21"/>
      <c r="AK88" s="21"/>
      <c r="AL88" s="21"/>
      <c r="AM88" s="21"/>
      <c r="AN88" s="21"/>
      <c r="AO88" s="21"/>
      <c r="AP88" s="21">
        <f>(AI88*$AI$2)+(AJ88*$AJ$2)+(AK88*$AK$2)+(AL88*$AL$2)+(AM88*$AM$2)+(AN88*$AN$2)+(AO88*$AO$2)</f>
        <v>0</v>
      </c>
      <c r="AQ88" s="21">
        <f>AP88+AH88</f>
        <v>420</v>
      </c>
      <c r="AR88" s="80" t="s">
        <v>657</v>
      </c>
      <c r="AS88" s="80" t="s">
        <v>656</v>
      </c>
      <c r="AT88" s="23"/>
      <c r="AU88" s="17"/>
      <c r="AV88" s="23" t="s">
        <v>655</v>
      </c>
      <c r="AW88" s="17"/>
      <c r="AX88" s="17"/>
      <c r="AY88" s="17"/>
      <c r="AZ88" s="17"/>
      <c r="BA88" s="17"/>
      <c r="BB88" s="17"/>
      <c r="BC88" s="17"/>
      <c r="BD88" s="52">
        <f>SUM(AX88:BC88)</f>
        <v>0</v>
      </c>
      <c r="BE88" s="17"/>
      <c r="BF88" s="17"/>
      <c r="BG88" s="16" t="s">
        <v>654</v>
      </c>
      <c r="BH88" s="51" t="s">
        <v>653</v>
      </c>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row>
    <row r="89" spans="1:173" s="113" customFormat="1" ht="60" customHeight="1">
      <c r="A89" s="21"/>
      <c r="B89" s="21">
        <v>1</v>
      </c>
      <c r="C89" s="16"/>
      <c r="D89" s="173"/>
      <c r="E89" s="69" t="s">
        <v>652</v>
      </c>
      <c r="F89" s="69" t="s">
        <v>651</v>
      </c>
      <c r="G89" s="69" t="s">
        <v>650</v>
      </c>
      <c r="H89" s="29">
        <v>45770</v>
      </c>
      <c r="I89" s="73">
        <v>45803</v>
      </c>
      <c r="J89" s="73">
        <v>45838</v>
      </c>
      <c r="K89" s="172">
        <f>J89-I89</f>
        <v>35</v>
      </c>
      <c r="L89" s="72" t="s">
        <v>14</v>
      </c>
      <c r="M89" s="16" t="s">
        <v>196</v>
      </c>
      <c r="N89" s="25" t="s">
        <v>59</v>
      </c>
      <c r="O89" s="23" t="s">
        <v>32</v>
      </c>
      <c r="P89" s="23" t="s">
        <v>58</v>
      </c>
      <c r="Q89" s="171" t="s">
        <v>57</v>
      </c>
      <c r="R89" s="23" t="s">
        <v>439</v>
      </c>
      <c r="S89" s="23" t="s">
        <v>363</v>
      </c>
      <c r="T89" s="23" t="s">
        <v>49</v>
      </c>
      <c r="U89" s="170" t="s">
        <v>8</v>
      </c>
      <c r="V89" s="23" t="s">
        <v>56</v>
      </c>
      <c r="W89" s="23" t="s">
        <v>6</v>
      </c>
      <c r="X89" s="21" t="s">
        <v>5</v>
      </c>
      <c r="Y89" s="21" t="s">
        <v>4</v>
      </c>
      <c r="Z89" s="88" t="s">
        <v>3</v>
      </c>
      <c r="AA89" s="21">
        <v>3</v>
      </c>
      <c r="AB89" s="21">
        <v>5</v>
      </c>
      <c r="AC89" s="21">
        <v>3</v>
      </c>
      <c r="AD89" s="21">
        <v>5</v>
      </c>
      <c r="AE89" s="21">
        <v>3</v>
      </c>
      <c r="AF89" s="21">
        <v>3</v>
      </c>
      <c r="AG89" s="21">
        <v>5</v>
      </c>
      <c r="AH89" s="22">
        <f>(AA89*$AA$2)+(AB89*$AB$2)+(AC89*$AC$2)+(AD89*$AD$2)+(AE89*$AE$2)+(AF89*$AF$2)+(AG89*$AG$2)</f>
        <v>405</v>
      </c>
      <c r="AI89" s="21">
        <v>5</v>
      </c>
      <c r="AJ89" s="21">
        <v>5</v>
      </c>
      <c r="AK89" s="21">
        <v>4</v>
      </c>
      <c r="AL89" s="21">
        <v>3</v>
      </c>
      <c r="AM89" s="21">
        <v>3</v>
      </c>
      <c r="AN89" s="21">
        <v>5</v>
      </c>
      <c r="AO89" s="21">
        <v>5</v>
      </c>
      <c r="AP89" s="21">
        <f>(AI89*$AI$2)+(AJ89*$AJ$2)+(AK89*$AK$2)+(AL89*$AL$2)+(AM89*$AM$2)+(AN89*$AN$2)+(AO89*$AO$2)</f>
        <v>450</v>
      </c>
      <c r="AQ89" s="21">
        <f>AP89+AH89</f>
        <v>855</v>
      </c>
      <c r="AR89" s="80" t="s">
        <v>649</v>
      </c>
      <c r="AS89" s="80"/>
      <c r="AT89" s="18" t="s">
        <v>166</v>
      </c>
      <c r="AU89" s="169"/>
      <c r="AV89" s="23" t="s">
        <v>54</v>
      </c>
      <c r="AW89" s="17"/>
      <c r="AX89" s="17"/>
      <c r="AY89" s="17"/>
      <c r="AZ89" s="17"/>
      <c r="BA89" s="17"/>
      <c r="BB89" s="17"/>
      <c r="BC89" s="17"/>
      <c r="BD89" s="52">
        <f>SUM(AX89:BC89)</f>
        <v>0</v>
      </c>
      <c r="BE89" s="169"/>
      <c r="BF89" s="17"/>
      <c r="BG89" s="16" t="s">
        <v>58</v>
      </c>
      <c r="BH89" s="51"/>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row>
    <row r="90" spans="1:173" s="50" customFormat="1" ht="34.5" customHeight="1">
      <c r="A90" s="21"/>
      <c r="B90" s="21">
        <v>25</v>
      </c>
      <c r="C90" s="21"/>
      <c r="D90" s="21"/>
      <c r="E90" s="69" t="s">
        <v>648</v>
      </c>
      <c r="F90" s="69" t="s">
        <v>647</v>
      </c>
      <c r="G90" s="69" t="s">
        <v>646</v>
      </c>
      <c r="H90" s="29">
        <v>45632</v>
      </c>
      <c r="I90" s="73">
        <v>45923</v>
      </c>
      <c r="J90" s="73">
        <v>45958</v>
      </c>
      <c r="K90" s="130">
        <f>J90-I90</f>
        <v>35</v>
      </c>
      <c r="L90" s="47" t="s">
        <v>14</v>
      </c>
      <c r="M90" s="67" t="s">
        <v>196</v>
      </c>
      <c r="N90" s="67" t="s">
        <v>59</v>
      </c>
      <c r="O90" s="23" t="s">
        <v>32</v>
      </c>
      <c r="P90" s="23" t="s">
        <v>58</v>
      </c>
      <c r="Q90" s="16" t="s">
        <v>57</v>
      </c>
      <c r="R90" s="23" t="s">
        <v>273</v>
      </c>
      <c r="S90" s="23" t="s">
        <v>645</v>
      </c>
      <c r="T90" s="23" t="s">
        <v>10</v>
      </c>
      <c r="U90" s="23" t="s">
        <v>215</v>
      </c>
      <c r="V90" s="23" t="s">
        <v>99</v>
      </c>
      <c r="W90" s="23" t="s">
        <v>6</v>
      </c>
      <c r="X90" s="21" t="s">
        <v>5</v>
      </c>
      <c r="Y90" s="21" t="s">
        <v>4</v>
      </c>
      <c r="Z90" s="23" t="s">
        <v>644</v>
      </c>
      <c r="AA90" s="23">
        <v>3</v>
      </c>
      <c r="AB90" s="23">
        <v>1</v>
      </c>
      <c r="AC90" s="23">
        <v>4</v>
      </c>
      <c r="AD90" s="23">
        <v>5</v>
      </c>
      <c r="AE90" s="23">
        <v>1</v>
      </c>
      <c r="AF90" s="23">
        <v>5</v>
      </c>
      <c r="AG90" s="23">
        <v>5</v>
      </c>
      <c r="AH90" s="22">
        <f>(AA90*$AA$2)+(AB90*$AB$2)+(AC90*$AC$2)+(AD90*$AD$2)+(AE90*$AE$2)+(AF90*$AF$2)+(AG90*$AG$2)</f>
        <v>360</v>
      </c>
      <c r="AI90" s="23">
        <v>5</v>
      </c>
      <c r="AJ90" s="23">
        <v>5</v>
      </c>
      <c r="AK90" s="23">
        <v>3</v>
      </c>
      <c r="AL90" s="23">
        <v>5</v>
      </c>
      <c r="AM90" s="23">
        <v>3</v>
      </c>
      <c r="AN90" s="23">
        <v>5</v>
      </c>
      <c r="AO90" s="23">
        <v>5</v>
      </c>
      <c r="AP90" s="21">
        <f>(AI90*$AI$2)+(AJ90*$AJ$2)+(AK90*$AK$2)+(AL90*$AL$2)+(AM90*$AM$2)+(AN90*$AN$2)+(AO90*$AO$2)</f>
        <v>465</v>
      </c>
      <c r="AQ90" s="21">
        <f>AP90+AH90</f>
        <v>825</v>
      </c>
      <c r="AR90" s="20" t="s">
        <v>643</v>
      </c>
      <c r="AS90" s="20"/>
      <c r="AT90" s="23" t="s">
        <v>54</v>
      </c>
      <c r="AU90" s="23"/>
      <c r="AV90" s="23" t="s">
        <v>54</v>
      </c>
      <c r="AW90" s="23"/>
      <c r="AX90" s="23"/>
      <c r="AY90" s="23"/>
      <c r="AZ90" s="23"/>
      <c r="BA90" s="23"/>
      <c r="BB90" s="23"/>
      <c r="BC90" s="23"/>
      <c r="BD90" s="52">
        <f>SUM(AX90:BC90)</f>
        <v>0</v>
      </c>
      <c r="BE90" s="23"/>
      <c r="BF90" s="23"/>
      <c r="BG90" s="125" t="s">
        <v>58</v>
      </c>
      <c r="BH90" s="106"/>
    </row>
    <row r="91" spans="1:173" s="50" customFormat="1" ht="46" customHeight="1">
      <c r="A91" s="21"/>
      <c r="B91" s="21">
        <v>1</v>
      </c>
      <c r="C91" s="166"/>
      <c r="D91" s="21"/>
      <c r="E91" s="69" t="s">
        <v>642</v>
      </c>
      <c r="F91" s="69" t="s">
        <v>641</v>
      </c>
      <c r="G91" s="69" t="s">
        <v>640</v>
      </c>
      <c r="H91" s="29">
        <v>45770</v>
      </c>
      <c r="I91" s="73">
        <v>45799</v>
      </c>
      <c r="J91" s="73">
        <v>45833</v>
      </c>
      <c r="K91" s="130">
        <f>J91-I91</f>
        <v>34</v>
      </c>
      <c r="L91" s="47" t="s">
        <v>14</v>
      </c>
      <c r="M91" s="168" t="s">
        <v>60</v>
      </c>
      <c r="N91" s="25" t="s">
        <v>59</v>
      </c>
      <c r="O91" s="23" t="s">
        <v>13</v>
      </c>
      <c r="P91" s="23" t="s">
        <v>58</v>
      </c>
      <c r="Q91" s="16" t="s">
        <v>57</v>
      </c>
      <c r="R91" s="23" t="s">
        <v>4</v>
      </c>
      <c r="S91" s="23" t="s">
        <v>386</v>
      </c>
      <c r="T91" s="134" t="s">
        <v>386</v>
      </c>
      <c r="U91" s="23" t="s">
        <v>8</v>
      </c>
      <c r="V91" s="23" t="s">
        <v>99</v>
      </c>
      <c r="W91" s="23" t="s">
        <v>286</v>
      </c>
      <c r="X91" s="21" t="s">
        <v>5</v>
      </c>
      <c r="Y91" s="21" t="s">
        <v>4</v>
      </c>
      <c r="Z91" s="88" t="s">
        <v>147</v>
      </c>
      <c r="AA91" s="21">
        <v>3</v>
      </c>
      <c r="AB91" s="21">
        <v>5</v>
      </c>
      <c r="AC91" s="21">
        <v>4</v>
      </c>
      <c r="AD91" s="21">
        <v>5</v>
      </c>
      <c r="AE91" s="21">
        <v>0</v>
      </c>
      <c r="AF91" s="21">
        <v>3</v>
      </c>
      <c r="AG91" s="21">
        <v>0</v>
      </c>
      <c r="AH91" s="22">
        <f>(AA91*$AA$2)+(AB91*$AB$2)+(AC91*$AC$2)+(AD91*$AD$2)+(AE91*$AE$2)+(AF91*$AF$2)+(AG91*$AG$2)</f>
        <v>300</v>
      </c>
      <c r="AI91" s="21">
        <v>5</v>
      </c>
      <c r="AJ91" s="21">
        <v>5</v>
      </c>
      <c r="AK91" s="21">
        <v>4</v>
      </c>
      <c r="AL91" s="21">
        <v>5</v>
      </c>
      <c r="AM91" s="21">
        <v>3</v>
      </c>
      <c r="AN91" s="21">
        <v>5</v>
      </c>
      <c r="AO91" s="21">
        <v>5</v>
      </c>
      <c r="AP91" s="21">
        <f>(AI91*$AI$2)+(AJ91*$AJ$2)+(AK91*$AK$2)+(AL91*$AL$2)+(AM91*$AM$2)+(AN91*$AN$2)+(AO91*$AO$2)</f>
        <v>480</v>
      </c>
      <c r="AQ91" s="21">
        <f>AP91+AH91</f>
        <v>780</v>
      </c>
      <c r="AR91" s="165" t="s">
        <v>639</v>
      </c>
      <c r="AS91" s="80"/>
      <c r="AT91" s="23" t="s">
        <v>611</v>
      </c>
      <c r="AU91" s="17"/>
      <c r="AV91" s="17" t="s">
        <v>374</v>
      </c>
      <c r="AW91" s="17"/>
      <c r="AX91" s="17"/>
      <c r="AY91" s="17"/>
      <c r="AZ91" s="17"/>
      <c r="BA91" s="17"/>
      <c r="BB91" s="17"/>
      <c r="BC91" s="17"/>
      <c r="BD91" s="52">
        <f>SUM(AX91:BC91)</f>
        <v>0</v>
      </c>
      <c r="BE91" s="17"/>
      <c r="BF91" s="17"/>
      <c r="BG91" s="16" t="s">
        <v>58</v>
      </c>
      <c r="BH91" s="51"/>
    </row>
    <row r="92" spans="1:173" s="51" customFormat="1" ht="53.5" customHeight="1">
      <c r="A92" s="21"/>
      <c r="B92" s="21">
        <v>1</v>
      </c>
      <c r="C92" s="21"/>
      <c r="D92" s="21"/>
      <c r="E92" s="69" t="s">
        <v>638</v>
      </c>
      <c r="F92" s="69" t="s">
        <v>637</v>
      </c>
      <c r="G92" s="69" t="s">
        <v>636</v>
      </c>
      <c r="H92" s="29">
        <v>45632</v>
      </c>
      <c r="I92" s="73">
        <v>45713</v>
      </c>
      <c r="J92" s="73">
        <v>45746</v>
      </c>
      <c r="K92" s="54">
        <f>J92-I92</f>
        <v>33</v>
      </c>
      <c r="L92" s="47" t="s">
        <v>14</v>
      </c>
      <c r="M92" s="67" t="s">
        <v>196</v>
      </c>
      <c r="N92" s="67" t="s">
        <v>59</v>
      </c>
      <c r="O92" s="23" t="s">
        <v>13</v>
      </c>
      <c r="P92" s="23" t="s">
        <v>58</v>
      </c>
      <c r="Q92" s="16" t="s">
        <v>8</v>
      </c>
      <c r="R92" s="23" t="s">
        <v>4</v>
      </c>
      <c r="S92" s="23" t="s">
        <v>10</v>
      </c>
      <c r="T92" s="23" t="s">
        <v>10</v>
      </c>
      <c r="U92" s="23"/>
      <c r="V92" s="23" t="s">
        <v>56</v>
      </c>
      <c r="W92" s="23" t="s">
        <v>6</v>
      </c>
      <c r="X92" s="21" t="s">
        <v>5</v>
      </c>
      <c r="Y92" s="21" t="s">
        <v>4</v>
      </c>
      <c r="Z92" s="23" t="s">
        <v>3</v>
      </c>
      <c r="AA92" s="23">
        <v>3</v>
      </c>
      <c r="AB92" s="23">
        <v>5</v>
      </c>
      <c r="AC92" s="23">
        <v>4</v>
      </c>
      <c r="AD92" s="23">
        <v>5</v>
      </c>
      <c r="AE92" s="23">
        <v>0</v>
      </c>
      <c r="AF92" s="23">
        <v>3</v>
      </c>
      <c r="AG92" s="23">
        <v>5</v>
      </c>
      <c r="AH92" s="22">
        <f>(AA92*$AA$2)+(AB92*$AB$2)+(AC92*$AC$2)+(AD92*$AD$2)+(AE92*$AE$2)+(AF92*$AF$2)+(AG92*$AG$2)</f>
        <v>375</v>
      </c>
      <c r="AI92" s="23">
        <v>5</v>
      </c>
      <c r="AJ92" s="23">
        <v>5</v>
      </c>
      <c r="AK92" s="23">
        <v>3</v>
      </c>
      <c r="AL92" s="23">
        <v>5</v>
      </c>
      <c r="AM92" s="23">
        <v>3</v>
      </c>
      <c r="AN92" s="23">
        <v>5</v>
      </c>
      <c r="AO92" s="23">
        <v>5</v>
      </c>
      <c r="AP92" s="21">
        <f>(AI92*$AI$2)+(AJ92*$AJ$2)+(AK92*$AK$2)+(AL92*$AL$2)+(AM92*$AM$2)+(AN92*$AN$2)+(AO92*$AO$2)</f>
        <v>465</v>
      </c>
      <c r="AQ92" s="21">
        <f>AP92+AH92</f>
        <v>840</v>
      </c>
      <c r="AR92" s="20" t="s">
        <v>635</v>
      </c>
      <c r="AS92" s="20" t="s">
        <v>634</v>
      </c>
      <c r="AT92" s="18" t="s">
        <v>633</v>
      </c>
      <c r="AU92" s="17"/>
      <c r="AV92" s="23" t="s">
        <v>374</v>
      </c>
      <c r="AW92" s="23"/>
      <c r="AX92" s="23"/>
      <c r="AY92" s="23"/>
      <c r="AZ92" s="23"/>
      <c r="BA92" s="23"/>
      <c r="BB92" s="23"/>
      <c r="BC92" s="23"/>
      <c r="BD92" s="52">
        <f>SUM(AX92:BC92)</f>
        <v>0</v>
      </c>
      <c r="BE92" s="17"/>
      <c r="BF92" s="77"/>
      <c r="BG92" s="16" t="s">
        <v>58</v>
      </c>
      <c r="BH92" s="106"/>
      <c r="BI92" s="167"/>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c r="CT92" s="106"/>
      <c r="CU92" s="106"/>
      <c r="CV92" s="106"/>
      <c r="CW92" s="106"/>
      <c r="CX92" s="106"/>
      <c r="CY92" s="106"/>
      <c r="CZ92" s="106"/>
      <c r="DA92" s="106"/>
      <c r="DB92" s="106"/>
      <c r="DC92" s="106"/>
      <c r="DD92" s="106"/>
      <c r="DE92" s="106"/>
      <c r="DF92" s="106"/>
      <c r="DG92" s="106"/>
      <c r="DH92" s="106"/>
      <c r="DI92" s="106"/>
      <c r="DJ92" s="106"/>
      <c r="DK92" s="106"/>
      <c r="DL92" s="106"/>
      <c r="DM92" s="106"/>
      <c r="DN92" s="106"/>
      <c r="DO92" s="106"/>
      <c r="DP92" s="106"/>
      <c r="DQ92" s="106"/>
      <c r="DR92" s="106"/>
      <c r="DS92" s="106"/>
      <c r="DT92" s="106"/>
      <c r="DU92" s="106"/>
      <c r="DV92" s="106"/>
      <c r="DW92" s="106"/>
      <c r="DX92" s="106"/>
      <c r="DY92" s="106"/>
      <c r="DZ92" s="106"/>
      <c r="EA92" s="106"/>
      <c r="EB92" s="106"/>
      <c r="EC92" s="106"/>
      <c r="ED92" s="106"/>
      <c r="EE92" s="106"/>
      <c r="EF92" s="106"/>
      <c r="EG92" s="106"/>
      <c r="EH92" s="106"/>
      <c r="EI92" s="106"/>
      <c r="EJ92" s="106"/>
      <c r="EK92" s="106"/>
      <c r="EL92" s="106"/>
      <c r="EM92" s="106"/>
      <c r="EN92" s="106"/>
      <c r="EO92" s="106"/>
      <c r="EP92" s="106"/>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row>
    <row r="93" spans="1:173" s="51" customFormat="1" ht="46" customHeight="1">
      <c r="A93" s="21"/>
      <c r="B93" s="21">
        <v>1</v>
      </c>
      <c r="C93" s="16"/>
      <c r="D93" s="21"/>
      <c r="E93" s="69" t="s">
        <v>632</v>
      </c>
      <c r="F93" s="69" t="s">
        <v>631</v>
      </c>
      <c r="G93" s="69" t="s">
        <v>630</v>
      </c>
      <c r="H93" s="29">
        <v>45762</v>
      </c>
      <c r="I93" s="73">
        <v>45777</v>
      </c>
      <c r="J93" s="73">
        <v>45807</v>
      </c>
      <c r="K93" s="54">
        <f>J93-I93</f>
        <v>30</v>
      </c>
      <c r="L93" s="72" t="s">
        <v>14</v>
      </c>
      <c r="M93" s="16" t="s">
        <v>6</v>
      </c>
      <c r="N93" s="16" t="s">
        <v>59</v>
      </c>
      <c r="O93" s="23" t="s">
        <v>32</v>
      </c>
      <c r="P93" s="23" t="s">
        <v>58</v>
      </c>
      <c r="Q93" s="16" t="s">
        <v>57</v>
      </c>
      <c r="R93" s="23" t="s">
        <v>170</v>
      </c>
      <c r="S93" s="23" t="s">
        <v>10</v>
      </c>
      <c r="T93" s="23" t="s">
        <v>132</v>
      </c>
      <c r="U93" s="23" t="s">
        <v>8</v>
      </c>
      <c r="V93" s="23" t="s">
        <v>56</v>
      </c>
      <c r="W93" s="23" t="s">
        <v>6</v>
      </c>
      <c r="X93" s="21" t="s">
        <v>5</v>
      </c>
      <c r="Y93" s="23" t="s">
        <v>4</v>
      </c>
      <c r="Z93" s="23" t="s">
        <v>3</v>
      </c>
      <c r="AA93" s="23">
        <v>3</v>
      </c>
      <c r="AB93" s="23">
        <v>5</v>
      </c>
      <c r="AC93" s="23">
        <v>1</v>
      </c>
      <c r="AD93" s="23">
        <v>5</v>
      </c>
      <c r="AE93" s="23">
        <v>3</v>
      </c>
      <c r="AF93" s="23">
        <v>3</v>
      </c>
      <c r="AG93" s="23">
        <v>5</v>
      </c>
      <c r="AH93" s="22">
        <f>(AA93*$AA$2)+(AB93*$AB$2)+(AC93*$AC$2)+(AD93*$AD$2)+(AE93*$AE$2)+(AF93*$AF$2)+(AG93*$AG$2)</f>
        <v>375</v>
      </c>
      <c r="AI93" s="23">
        <v>5</v>
      </c>
      <c r="AJ93" s="23">
        <v>5</v>
      </c>
      <c r="AK93" s="23">
        <v>5</v>
      </c>
      <c r="AL93" s="23">
        <v>3</v>
      </c>
      <c r="AM93" s="23">
        <v>5</v>
      </c>
      <c r="AN93" s="23">
        <v>5</v>
      </c>
      <c r="AO93" s="23">
        <v>5</v>
      </c>
      <c r="AP93" s="21">
        <f>(AI93*$AI$2)+(AJ93*$AJ$2)+(AK93*$AK$2)+(AL93*$AL$2)+(AM93*$AM$2)+(AN93*$AN$2)+(AO93*$AO$2)</f>
        <v>495</v>
      </c>
      <c r="AQ93" s="21">
        <f>AP93+AH93</f>
        <v>870</v>
      </c>
      <c r="AR93" s="20" t="s">
        <v>629</v>
      </c>
      <c r="AS93" s="80" t="s">
        <v>628</v>
      </c>
      <c r="AT93" s="23" t="s">
        <v>627</v>
      </c>
      <c r="AU93" s="23"/>
      <c r="AV93" s="17" t="s">
        <v>258</v>
      </c>
      <c r="AW93" s="23"/>
      <c r="AX93" s="23"/>
      <c r="AY93" s="23"/>
      <c r="AZ93" s="23"/>
      <c r="BA93" s="23"/>
      <c r="BB93" s="23"/>
      <c r="BC93" s="23"/>
      <c r="BD93" s="52">
        <f>SUM(AX93:BC93)</f>
        <v>0</v>
      </c>
      <c r="BE93" s="23"/>
      <c r="BF93" s="23"/>
      <c r="BG93" s="16" t="s">
        <v>58</v>
      </c>
      <c r="BI93" s="59"/>
    </row>
    <row r="94" spans="1:173" s="50" customFormat="1" ht="100" customHeight="1">
      <c r="A94" s="21"/>
      <c r="B94" s="21">
        <v>77</v>
      </c>
      <c r="C94" s="21"/>
      <c r="D94" s="21"/>
      <c r="E94" s="69" t="s">
        <v>626</v>
      </c>
      <c r="F94" s="69" t="s">
        <v>625</v>
      </c>
      <c r="G94" s="69"/>
      <c r="H94" s="29">
        <v>45627</v>
      </c>
      <c r="I94" s="73"/>
      <c r="J94" s="73"/>
      <c r="K94" s="54"/>
      <c r="L94" s="47" t="s">
        <v>39</v>
      </c>
      <c r="M94" s="26" t="s">
        <v>38</v>
      </c>
      <c r="N94" s="26"/>
      <c r="O94" s="23" t="s">
        <v>50</v>
      </c>
      <c r="P94" s="23" t="s">
        <v>12</v>
      </c>
      <c r="Q94" s="23" t="s">
        <v>129</v>
      </c>
      <c r="R94" s="23"/>
      <c r="S94" s="23" t="s">
        <v>128</v>
      </c>
      <c r="T94" s="23" t="s">
        <v>178</v>
      </c>
      <c r="U94" s="23"/>
      <c r="V94" s="23" t="s">
        <v>66</v>
      </c>
      <c r="W94" s="26"/>
      <c r="X94" s="21" t="s">
        <v>5</v>
      </c>
      <c r="Y94" s="21" t="s">
        <v>126</v>
      </c>
      <c r="Z94" s="23" t="s">
        <v>18</v>
      </c>
      <c r="AA94" s="26">
        <v>3</v>
      </c>
      <c r="AB94" s="26">
        <v>1</v>
      </c>
      <c r="AC94" s="26">
        <v>3</v>
      </c>
      <c r="AD94" s="26">
        <v>5</v>
      </c>
      <c r="AE94" s="26">
        <v>5</v>
      </c>
      <c r="AF94" s="26">
        <v>5</v>
      </c>
      <c r="AG94" s="26">
        <v>5</v>
      </c>
      <c r="AH94" s="22">
        <f>(AA94*$AA$2)+(AB94*$AB$2)+(AC94*$AC$2)+(AD94*$AD$2)+(AE94*$AE$2)+(AF94*$AF$2)+(AG94*$AG$2)</f>
        <v>405</v>
      </c>
      <c r="AI94" s="26">
        <v>4</v>
      </c>
      <c r="AJ94" s="26">
        <v>3</v>
      </c>
      <c r="AK94" s="26">
        <v>2</v>
      </c>
      <c r="AL94" s="26">
        <v>3</v>
      </c>
      <c r="AM94" s="26">
        <v>3</v>
      </c>
      <c r="AN94" s="26">
        <v>3</v>
      </c>
      <c r="AO94" s="26">
        <v>3</v>
      </c>
      <c r="AP94" s="21">
        <f>(AI94*$AI$2)+(AJ94*$AJ$2)+(AK94*$AK$2)+(AL94*$AL$2)+(AM94*$AM$2)+(AN94*$AN$2)+(AO94*$AO$2)</f>
        <v>315</v>
      </c>
      <c r="AQ94" s="21">
        <f>AP94+AH94</f>
        <v>720</v>
      </c>
      <c r="AR94" s="69" t="s">
        <v>624</v>
      </c>
      <c r="AS94" s="69" t="s">
        <v>541</v>
      </c>
      <c r="AT94" s="18"/>
      <c r="AU94" s="17"/>
      <c r="AV94" s="17"/>
      <c r="AW94" s="17"/>
      <c r="AX94" s="17"/>
      <c r="AY94" s="17"/>
      <c r="AZ94" s="17"/>
      <c r="BA94" s="17"/>
      <c r="BB94" s="17"/>
      <c r="BC94" s="17"/>
      <c r="BD94" s="52">
        <f>SUM(AX94:BC94)</f>
        <v>0</v>
      </c>
      <c r="BE94" s="17"/>
      <c r="BF94" s="28"/>
      <c r="BG94" s="16" t="s">
        <v>0</v>
      </c>
      <c r="BH94" s="48"/>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row>
    <row r="95" spans="1:173" s="50" customFormat="1" ht="34.5" customHeight="1">
      <c r="A95" s="21"/>
      <c r="B95" s="21">
        <v>74</v>
      </c>
      <c r="C95" s="21"/>
      <c r="D95" s="21"/>
      <c r="E95" s="69" t="s">
        <v>623</v>
      </c>
      <c r="F95" s="69" t="s">
        <v>622</v>
      </c>
      <c r="G95" s="69"/>
      <c r="H95" s="29">
        <v>45627</v>
      </c>
      <c r="I95" s="73"/>
      <c r="J95" s="73"/>
      <c r="K95" s="54"/>
      <c r="L95" s="47" t="s">
        <v>39</v>
      </c>
      <c r="M95" s="67" t="s">
        <v>60</v>
      </c>
      <c r="N95" s="21"/>
      <c r="O95" s="23" t="s">
        <v>50</v>
      </c>
      <c r="P95" s="23" t="s">
        <v>12</v>
      </c>
      <c r="Q95" s="23" t="s">
        <v>179</v>
      </c>
      <c r="R95" s="23" t="s">
        <v>621</v>
      </c>
      <c r="S95" s="23" t="s">
        <v>620</v>
      </c>
      <c r="T95" s="23" t="s">
        <v>386</v>
      </c>
      <c r="U95" s="23" t="s">
        <v>619</v>
      </c>
      <c r="V95" s="23" t="s">
        <v>99</v>
      </c>
      <c r="W95" s="23" t="s">
        <v>286</v>
      </c>
      <c r="X95" s="21" t="s">
        <v>5</v>
      </c>
      <c r="Y95" s="23" t="s">
        <v>126</v>
      </c>
      <c r="Z95" s="23" t="s">
        <v>147</v>
      </c>
      <c r="AA95" s="21">
        <v>4</v>
      </c>
      <c r="AB95" s="21">
        <v>5</v>
      </c>
      <c r="AC95" s="21">
        <v>4</v>
      </c>
      <c r="AD95" s="21">
        <v>5</v>
      </c>
      <c r="AE95" s="21">
        <v>3</v>
      </c>
      <c r="AF95" s="21">
        <v>5</v>
      </c>
      <c r="AG95" s="21">
        <v>5</v>
      </c>
      <c r="AH95" s="22">
        <f>(AA95*$AA$2)+(AB95*$AB$2)+(AC95*$AC$2)+(AD95*$AD$2)+(AE95*$AE$2)+(AF95*$AF$2)+(AG95*$AG$2)</f>
        <v>465</v>
      </c>
      <c r="AI95" s="21">
        <v>3</v>
      </c>
      <c r="AJ95" s="21">
        <v>2</v>
      </c>
      <c r="AK95" s="21">
        <v>2</v>
      </c>
      <c r="AL95" s="21">
        <v>3</v>
      </c>
      <c r="AM95" s="21">
        <v>3</v>
      </c>
      <c r="AN95" s="21">
        <v>1</v>
      </c>
      <c r="AO95" s="21">
        <v>3</v>
      </c>
      <c r="AP95" s="21">
        <f>(AI95*$AI$2)+(AJ95*$AJ$2)+(AK95*$AK$2)+(AL95*$AL$2)+(AM95*$AM$2)+(AN95*$AN$2)+(AO95*$AO$2)</f>
        <v>255</v>
      </c>
      <c r="AQ95" s="21">
        <f>AP95+AH95</f>
        <v>720</v>
      </c>
      <c r="AR95" s="88" t="s">
        <v>618</v>
      </c>
      <c r="AS95" s="88" t="s">
        <v>617</v>
      </c>
      <c r="AT95" s="18"/>
      <c r="AU95" s="17"/>
      <c r="AV95" s="17"/>
      <c r="AW95" s="17"/>
      <c r="AX95" s="17"/>
      <c r="AY95" s="17"/>
      <c r="AZ95" s="17"/>
      <c r="BA95" s="17"/>
      <c r="BB95" s="17"/>
      <c r="BC95" s="17"/>
      <c r="BD95" s="52">
        <f>SUM(AX95:BC95)</f>
        <v>0</v>
      </c>
      <c r="BE95" s="17"/>
      <c r="BF95" s="17"/>
      <c r="BG95" s="16" t="s">
        <v>0</v>
      </c>
      <c r="BH95" s="5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row>
    <row r="96" spans="1:173" s="50" customFormat="1" ht="62.5" customHeight="1">
      <c r="A96" s="21"/>
      <c r="B96" s="21">
        <v>99</v>
      </c>
      <c r="C96" s="166"/>
      <c r="D96" s="21"/>
      <c r="E96" s="69" t="s">
        <v>616</v>
      </c>
      <c r="F96" s="69" t="s">
        <v>615</v>
      </c>
      <c r="G96" s="69" t="s">
        <v>614</v>
      </c>
      <c r="H96" s="29">
        <v>45778</v>
      </c>
      <c r="I96" s="73">
        <v>45803</v>
      </c>
      <c r="J96" s="73">
        <v>45833</v>
      </c>
      <c r="K96" s="130">
        <f>J96-I96</f>
        <v>30</v>
      </c>
      <c r="L96" s="72" t="s">
        <v>14</v>
      </c>
      <c r="M96" s="105" t="s">
        <v>38</v>
      </c>
      <c r="N96" s="25" t="s">
        <v>59</v>
      </c>
      <c r="O96" s="23" t="s">
        <v>13</v>
      </c>
      <c r="P96" s="23" t="s">
        <v>58</v>
      </c>
      <c r="Q96" s="16" t="s">
        <v>57</v>
      </c>
      <c r="R96" s="23" t="s">
        <v>613</v>
      </c>
      <c r="S96" s="23" t="s">
        <v>460</v>
      </c>
      <c r="T96" s="23" t="s">
        <v>460</v>
      </c>
      <c r="U96" s="23" t="s">
        <v>8</v>
      </c>
      <c r="V96" s="23" t="s">
        <v>66</v>
      </c>
      <c r="W96" s="23" t="s">
        <v>340</v>
      </c>
      <c r="X96" s="21" t="s">
        <v>5</v>
      </c>
      <c r="Y96" s="21" t="s">
        <v>4</v>
      </c>
      <c r="Z96" s="88" t="s">
        <v>18</v>
      </c>
      <c r="AA96" s="21">
        <v>3</v>
      </c>
      <c r="AB96" s="21">
        <v>1</v>
      </c>
      <c r="AC96" s="21">
        <v>2</v>
      </c>
      <c r="AD96" s="21">
        <v>5</v>
      </c>
      <c r="AE96" s="21">
        <v>0</v>
      </c>
      <c r="AF96" s="21">
        <v>3</v>
      </c>
      <c r="AG96" s="21">
        <v>0</v>
      </c>
      <c r="AH96" s="22">
        <f>(AA96*$AA$2)+(AB96*$AB$2)+(AC96*$AC$2)+(AD96*$AD$2)+(AE96*$AE$2)+(AF96*$AF$2)+(AG96*$AG$2)</f>
        <v>210</v>
      </c>
      <c r="AI96" s="21">
        <v>5</v>
      </c>
      <c r="AJ96" s="21">
        <v>5</v>
      </c>
      <c r="AK96" s="21">
        <v>5</v>
      </c>
      <c r="AL96" s="21">
        <v>5</v>
      </c>
      <c r="AM96" s="21">
        <v>5</v>
      </c>
      <c r="AN96" s="21">
        <v>5</v>
      </c>
      <c r="AO96" s="21">
        <v>5</v>
      </c>
      <c r="AP96" s="21">
        <f>(AI96*$AI$2)+(AJ96*$AJ$2)+(AK96*$AK$2)+(AL96*$AL$2)+(AM96*$AM$2)+(AN96*$AN$2)+(AO96*$AO$2)</f>
        <v>525</v>
      </c>
      <c r="AQ96" s="21">
        <f>AP96+AH96</f>
        <v>735</v>
      </c>
      <c r="AR96" s="165" t="s">
        <v>612</v>
      </c>
      <c r="AS96" s="80"/>
      <c r="AT96" s="23" t="s">
        <v>611</v>
      </c>
      <c r="AU96" s="17"/>
      <c r="AV96" s="17" t="s">
        <v>374</v>
      </c>
      <c r="AW96" s="17"/>
      <c r="AX96" s="17"/>
      <c r="AY96" s="17"/>
      <c r="AZ96" s="17"/>
      <c r="BA96" s="17"/>
      <c r="BB96" s="17"/>
      <c r="BC96" s="17"/>
      <c r="BD96" s="52">
        <f>SUM(AX96:BC96)</f>
        <v>0</v>
      </c>
      <c r="BE96" s="17"/>
      <c r="BF96" s="17"/>
      <c r="BG96" s="16" t="s">
        <v>58</v>
      </c>
      <c r="BH96" s="51"/>
    </row>
    <row r="97" spans="1:173" s="50" customFormat="1" ht="103.5" customHeight="1">
      <c r="A97" s="21"/>
      <c r="B97" s="21">
        <v>67</v>
      </c>
      <c r="C97" s="21"/>
      <c r="D97" s="21"/>
      <c r="E97" s="69" t="s">
        <v>610</v>
      </c>
      <c r="F97" s="69" t="s">
        <v>609</v>
      </c>
      <c r="G97" s="69"/>
      <c r="H97" s="29">
        <v>45658</v>
      </c>
      <c r="I97" s="73">
        <v>45839</v>
      </c>
      <c r="J97" s="73">
        <v>45869</v>
      </c>
      <c r="K97" s="54">
        <f>J97-I97</f>
        <v>30</v>
      </c>
      <c r="L97" s="47" t="s">
        <v>14</v>
      </c>
      <c r="M97" s="67" t="s">
        <v>60</v>
      </c>
      <c r="N97" s="67"/>
      <c r="O97" s="23" t="s">
        <v>13</v>
      </c>
      <c r="P97" s="23" t="s">
        <v>58</v>
      </c>
      <c r="Q97" s="23" t="s">
        <v>57</v>
      </c>
      <c r="R97" s="23" t="s">
        <v>163</v>
      </c>
      <c r="S97" s="23" t="s">
        <v>37</v>
      </c>
      <c r="T97" s="23" t="s">
        <v>37</v>
      </c>
      <c r="U97" s="23" t="s">
        <v>126</v>
      </c>
      <c r="V97" s="23" t="s">
        <v>66</v>
      </c>
      <c r="W97" s="23" t="s">
        <v>286</v>
      </c>
      <c r="X97" s="21" t="s">
        <v>5</v>
      </c>
      <c r="Y97" s="23" t="s">
        <v>126</v>
      </c>
      <c r="Z97" s="23" t="s">
        <v>147</v>
      </c>
      <c r="AA97" s="23">
        <v>3</v>
      </c>
      <c r="AB97" s="23">
        <v>5</v>
      </c>
      <c r="AC97" s="23">
        <v>1</v>
      </c>
      <c r="AD97" s="23">
        <v>5</v>
      </c>
      <c r="AE97" s="23">
        <v>3</v>
      </c>
      <c r="AF97" s="23">
        <v>5</v>
      </c>
      <c r="AG97" s="23">
        <v>3</v>
      </c>
      <c r="AH97" s="22">
        <f>(AA97*$AA$2)+(AB97*$AB$2)+(AC97*$AC$2)+(AD97*$AD$2)+(AE97*$AE$2)+(AF97*$AF$2)+(AG97*$AG$2)</f>
        <v>375</v>
      </c>
      <c r="AI97" s="23">
        <v>5</v>
      </c>
      <c r="AJ97" s="23">
        <v>5</v>
      </c>
      <c r="AK97" s="23">
        <v>2</v>
      </c>
      <c r="AL97" s="23">
        <v>3</v>
      </c>
      <c r="AM97" s="23">
        <v>3</v>
      </c>
      <c r="AN97" s="23">
        <v>3</v>
      </c>
      <c r="AO97" s="23">
        <v>3</v>
      </c>
      <c r="AP97" s="21">
        <f>(AI97*$AI$2)+(AJ97*$AJ$2)+(AK97*$AK$2)+(AL97*$AL$2)+(AM97*$AM$2)+(AN97*$AN$2)+(AO97*$AO$2)</f>
        <v>360</v>
      </c>
      <c r="AQ97" s="23">
        <f>AP97+AH97</f>
        <v>735</v>
      </c>
      <c r="AR97" s="20" t="s">
        <v>608</v>
      </c>
      <c r="AS97" s="20" t="s">
        <v>576</v>
      </c>
      <c r="AT97" s="18">
        <v>50000</v>
      </c>
      <c r="AU97" s="17"/>
      <c r="AV97" s="102" t="s">
        <v>54</v>
      </c>
      <c r="AW97" s="17"/>
      <c r="AX97" s="17"/>
      <c r="AY97" s="17"/>
      <c r="AZ97" s="17"/>
      <c r="BA97" s="17"/>
      <c r="BB97" s="17"/>
      <c r="BC97" s="17"/>
      <c r="BD97" s="52">
        <f>SUM(AX97:BC97)</f>
        <v>0</v>
      </c>
      <c r="BE97" s="148">
        <v>45870</v>
      </c>
      <c r="BF97" s="17"/>
      <c r="BG97" s="16" t="s">
        <v>475</v>
      </c>
      <c r="BH97" s="10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row>
    <row r="98" spans="1:173" ht="54" customHeight="1">
      <c r="A98" s="21"/>
      <c r="B98" s="21">
        <v>1</v>
      </c>
      <c r="C98" s="7" t="s">
        <v>607</v>
      </c>
      <c r="D98" s="21"/>
      <c r="E98" s="69" t="s">
        <v>606</v>
      </c>
      <c r="F98" s="69" t="s">
        <v>605</v>
      </c>
      <c r="G98" s="69" t="s">
        <v>604</v>
      </c>
      <c r="H98" s="29">
        <v>45809</v>
      </c>
      <c r="I98" s="73">
        <v>45809</v>
      </c>
      <c r="J98" s="73">
        <v>45838</v>
      </c>
      <c r="K98" s="54">
        <f>J98-I98</f>
        <v>29</v>
      </c>
      <c r="L98" s="47" t="s">
        <v>14</v>
      </c>
      <c r="M98" s="26" t="s">
        <v>60</v>
      </c>
      <c r="N98" s="25"/>
      <c r="O98" s="23" t="s">
        <v>13</v>
      </c>
      <c r="P98" s="23" t="s">
        <v>58</v>
      </c>
      <c r="Q98" s="23" t="s">
        <v>57</v>
      </c>
      <c r="R98" s="23" t="s">
        <v>163</v>
      </c>
      <c r="S98" s="23" t="s">
        <v>37</v>
      </c>
      <c r="T98" s="23" t="s">
        <v>37</v>
      </c>
      <c r="U98" s="23" t="s">
        <v>31</v>
      </c>
      <c r="V98" s="23" t="s">
        <v>66</v>
      </c>
      <c r="W98" s="23"/>
      <c r="X98" s="21" t="s">
        <v>5</v>
      </c>
      <c r="Y98" s="21" t="s">
        <v>42</v>
      </c>
      <c r="Z98" s="23" t="s">
        <v>18</v>
      </c>
      <c r="AA98" s="22">
        <v>3</v>
      </c>
      <c r="AB98" s="22">
        <v>5</v>
      </c>
      <c r="AC98" s="22">
        <v>4</v>
      </c>
      <c r="AD98" s="22">
        <v>5</v>
      </c>
      <c r="AE98" s="22">
        <v>0</v>
      </c>
      <c r="AF98" s="22">
        <v>1</v>
      </c>
      <c r="AG98" s="22">
        <v>3</v>
      </c>
      <c r="AH98" s="22">
        <f>(AA98*$AA$2)+(AB98*$AB$2)+(AC98*$AC$2)+(AD98*$AD$2)+(AE98*$AE$2)+(AF98*$AF$2)+(AG98*$AG$2)</f>
        <v>315</v>
      </c>
      <c r="AI98" s="22">
        <v>5</v>
      </c>
      <c r="AJ98" s="22">
        <v>5</v>
      </c>
      <c r="AK98" s="22">
        <v>3</v>
      </c>
      <c r="AL98" s="22">
        <v>5</v>
      </c>
      <c r="AM98" s="22">
        <v>5</v>
      </c>
      <c r="AN98" s="22">
        <v>5</v>
      </c>
      <c r="AO98" s="22">
        <v>5</v>
      </c>
      <c r="AP98" s="21">
        <f>(AI98*$AI$2)+(AJ98*$AJ$2)+(AK98*$AK$2)+(AL98*$AL$2)+(AM98*$AM$2)+(AN98*$AN$2)+(AO98*$AO$2)</f>
        <v>495</v>
      </c>
      <c r="AQ98" s="21">
        <f>AP98+AH98</f>
        <v>810</v>
      </c>
      <c r="AR98" s="20" t="s">
        <v>603</v>
      </c>
      <c r="AS98" s="20" t="s">
        <v>588</v>
      </c>
      <c r="AT98" s="23" t="s">
        <v>602</v>
      </c>
      <c r="AU98" s="17"/>
      <c r="AV98" s="80" t="s">
        <v>602</v>
      </c>
      <c r="AW98" s="17"/>
      <c r="AX98" s="164">
        <v>0</v>
      </c>
      <c r="AY98" s="164">
        <v>0</v>
      </c>
      <c r="AZ98" s="164">
        <v>0</v>
      </c>
      <c r="BA98" s="17">
        <v>0</v>
      </c>
      <c r="BB98" s="17">
        <v>0</v>
      </c>
      <c r="BC98" s="17"/>
      <c r="BD98" s="52">
        <f>SUM(AX98:BC98)</f>
        <v>0</v>
      </c>
      <c r="BE98" s="17"/>
      <c r="BF98" s="77"/>
      <c r="BG98" s="16" t="s">
        <v>58</v>
      </c>
      <c r="BH98" s="20" t="s">
        <v>594</v>
      </c>
      <c r="BI98" s="108"/>
      <c r="BJ98" s="108"/>
      <c r="BK98" s="108"/>
      <c r="BL98" s="108"/>
      <c r="BM98" s="108"/>
      <c r="BN98" s="108"/>
      <c r="BO98" s="108"/>
      <c r="BP98" s="108"/>
      <c r="BQ98" s="108"/>
      <c r="BR98" s="108"/>
      <c r="BS98" s="108"/>
      <c r="BT98" s="108"/>
      <c r="BU98" s="108"/>
      <c r="BV98" s="108"/>
      <c r="BW98" s="108"/>
      <c r="BX98" s="108"/>
      <c r="BY98" s="108"/>
      <c r="BZ98" s="108"/>
      <c r="CA98" s="108"/>
      <c r="CB98" s="108"/>
      <c r="CC98" s="108"/>
      <c r="CD98" s="108"/>
      <c r="CE98" s="108"/>
      <c r="CF98" s="108"/>
      <c r="CG98" s="108"/>
      <c r="CH98" s="108"/>
      <c r="CI98" s="108"/>
      <c r="CJ98" s="108"/>
      <c r="CK98" s="108"/>
      <c r="CL98" s="108"/>
      <c r="CM98" s="108"/>
      <c r="CN98" s="108"/>
      <c r="CO98" s="108"/>
      <c r="CP98" s="108"/>
      <c r="CQ98" s="108"/>
      <c r="CR98" s="108"/>
      <c r="CS98" s="108"/>
      <c r="CT98" s="108"/>
      <c r="CU98" s="108"/>
      <c r="CV98" s="108"/>
      <c r="CW98" s="108"/>
      <c r="CX98" s="108"/>
      <c r="CY98" s="108"/>
      <c r="CZ98" s="108"/>
      <c r="DA98" s="108"/>
      <c r="DB98" s="108"/>
      <c r="DC98" s="108"/>
      <c r="DD98" s="108"/>
      <c r="DE98" s="108"/>
      <c r="DF98" s="108"/>
      <c r="DG98" s="108"/>
      <c r="DH98" s="108"/>
      <c r="DI98" s="108"/>
      <c r="DJ98" s="108"/>
      <c r="DK98" s="108"/>
      <c r="DL98" s="108"/>
      <c r="DM98" s="108"/>
      <c r="DN98" s="108"/>
      <c r="DO98" s="108"/>
      <c r="DP98" s="108"/>
      <c r="DQ98" s="108"/>
      <c r="DR98" s="108"/>
      <c r="DS98" s="108"/>
      <c r="DT98" s="108"/>
      <c r="DU98" s="108"/>
      <c r="DV98" s="108"/>
      <c r="DW98" s="108"/>
      <c r="DX98" s="108"/>
      <c r="DY98" s="108"/>
      <c r="DZ98" s="108"/>
      <c r="EA98" s="108"/>
      <c r="EB98" s="108"/>
      <c r="EC98" s="108"/>
      <c r="ED98" s="108"/>
      <c r="EE98" s="108"/>
      <c r="EF98" s="108"/>
      <c r="EG98" s="108"/>
      <c r="EH98" s="108"/>
      <c r="EI98" s="108"/>
      <c r="EJ98" s="108"/>
      <c r="EK98" s="108"/>
      <c r="EL98" s="108"/>
      <c r="EM98" s="108"/>
      <c r="EN98" s="108"/>
      <c r="EO98" s="108"/>
      <c r="EP98" s="108"/>
      <c r="EQ98" s="108"/>
      <c r="ER98" s="108"/>
      <c r="ES98" s="108"/>
      <c r="ET98" s="108"/>
      <c r="EU98" s="108"/>
      <c r="EV98" s="108"/>
      <c r="EW98" s="108"/>
      <c r="EX98" s="108"/>
      <c r="EY98" s="108"/>
      <c r="EZ98" s="108"/>
      <c r="FA98" s="108"/>
      <c r="FB98" s="108"/>
      <c r="FC98" s="108"/>
      <c r="FD98" s="108"/>
      <c r="FE98" s="108"/>
      <c r="FF98" s="108"/>
      <c r="FG98" s="108"/>
      <c r="FH98" s="108"/>
      <c r="FI98" s="108"/>
      <c r="FJ98" s="108"/>
      <c r="FK98" s="108"/>
      <c r="FL98" s="108"/>
      <c r="FM98" s="108"/>
      <c r="FN98" s="108"/>
      <c r="FO98" s="108"/>
      <c r="FP98" s="108"/>
      <c r="FQ98" s="108"/>
    </row>
    <row r="99" spans="1:173" ht="86" customHeight="1">
      <c r="A99" s="21"/>
      <c r="B99" s="21">
        <v>1</v>
      </c>
      <c r="C99" s="21" t="s">
        <v>601</v>
      </c>
      <c r="D99" s="21"/>
      <c r="E99" s="69" t="s">
        <v>600</v>
      </c>
      <c r="F99" s="69" t="s">
        <v>599</v>
      </c>
      <c r="G99" s="69" t="s">
        <v>598</v>
      </c>
      <c r="H99" s="29">
        <v>45809</v>
      </c>
      <c r="I99" s="73">
        <v>45809</v>
      </c>
      <c r="J99" s="73">
        <v>45838</v>
      </c>
      <c r="K99" s="54">
        <f>J99-I99</f>
        <v>29</v>
      </c>
      <c r="L99" s="47" t="s">
        <v>14</v>
      </c>
      <c r="M99" s="26" t="s">
        <v>60</v>
      </c>
      <c r="N99" s="25"/>
      <c r="O99" s="23" t="s">
        <v>13</v>
      </c>
      <c r="P99" s="23" t="s">
        <v>58</v>
      </c>
      <c r="Q99" s="23" t="s">
        <v>57</v>
      </c>
      <c r="R99" s="23" t="s">
        <v>163</v>
      </c>
      <c r="S99" s="23" t="s">
        <v>37</v>
      </c>
      <c r="T99" s="23" t="s">
        <v>37</v>
      </c>
      <c r="U99" s="23" t="s">
        <v>31</v>
      </c>
      <c r="V99" s="23" t="s">
        <v>66</v>
      </c>
      <c r="W99" s="23"/>
      <c r="X99" s="21" t="s">
        <v>5</v>
      </c>
      <c r="Y99" s="21" t="s">
        <v>42</v>
      </c>
      <c r="Z99" s="23" t="s">
        <v>18</v>
      </c>
      <c r="AA99" s="22">
        <v>3</v>
      </c>
      <c r="AB99" s="22">
        <v>5</v>
      </c>
      <c r="AC99" s="22">
        <v>4</v>
      </c>
      <c r="AD99" s="22">
        <v>5</v>
      </c>
      <c r="AE99" s="22">
        <v>0</v>
      </c>
      <c r="AF99" s="22">
        <v>1</v>
      </c>
      <c r="AG99" s="22">
        <v>3</v>
      </c>
      <c r="AH99" s="22">
        <f>(AA99*$AA$2)+(AB99*$AB$2)+(AC99*$AC$2)+(AD99*$AD$2)+(AE99*$AE$2)+(AF99*$AF$2)+(AG99*$AG$2)</f>
        <v>315</v>
      </c>
      <c r="AI99" s="22">
        <v>5</v>
      </c>
      <c r="AJ99" s="22">
        <v>5</v>
      </c>
      <c r="AK99" s="22">
        <v>3</v>
      </c>
      <c r="AL99" s="22">
        <v>5</v>
      </c>
      <c r="AM99" s="22">
        <v>5</v>
      </c>
      <c r="AN99" s="22">
        <v>5</v>
      </c>
      <c r="AO99" s="22">
        <v>5</v>
      </c>
      <c r="AP99" s="21">
        <f>(AI99*$AI$2)+(AJ99*$AJ$2)+(AK99*$AK$2)+(AL99*$AL$2)+(AM99*$AM$2)+(AN99*$AN$2)+(AO99*$AO$2)</f>
        <v>495</v>
      </c>
      <c r="AQ99" s="21">
        <f>AP99+AH99</f>
        <v>810</v>
      </c>
      <c r="AR99" s="20" t="s">
        <v>597</v>
      </c>
      <c r="AS99" s="20" t="s">
        <v>596</v>
      </c>
      <c r="AT99" s="23" t="s">
        <v>595</v>
      </c>
      <c r="AU99" s="17"/>
      <c r="AV99" s="23" t="s">
        <v>595</v>
      </c>
      <c r="AW99" s="17"/>
      <c r="AX99" s="164">
        <v>0</v>
      </c>
      <c r="AY99" s="164">
        <v>0</v>
      </c>
      <c r="AZ99" s="164">
        <v>0</v>
      </c>
      <c r="BA99" s="17">
        <v>0</v>
      </c>
      <c r="BB99" s="17">
        <v>0</v>
      </c>
      <c r="BC99" s="17"/>
      <c r="BD99" s="52">
        <f>SUM(AX99:BC99)</f>
        <v>0</v>
      </c>
      <c r="BE99" s="17"/>
      <c r="BF99" s="17"/>
      <c r="BG99" s="16" t="s">
        <v>58</v>
      </c>
      <c r="BH99" s="20" t="s">
        <v>594</v>
      </c>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row>
    <row r="100" spans="1:173" s="108" customFormat="1" ht="52">
      <c r="A100" s="21"/>
      <c r="B100" s="21">
        <v>1</v>
      </c>
      <c r="C100" s="21" t="s">
        <v>593</v>
      </c>
      <c r="D100" s="21"/>
      <c r="E100" s="69" t="s">
        <v>592</v>
      </c>
      <c r="F100" s="69" t="s">
        <v>591</v>
      </c>
      <c r="G100" s="69" t="s">
        <v>590</v>
      </c>
      <c r="H100" s="29">
        <v>45809</v>
      </c>
      <c r="I100" s="73">
        <v>45809</v>
      </c>
      <c r="J100" s="73">
        <v>45838</v>
      </c>
      <c r="K100" s="54">
        <f>J100-I100</f>
        <v>29</v>
      </c>
      <c r="L100" s="47" t="s">
        <v>14</v>
      </c>
      <c r="M100" s="26" t="s">
        <v>60</v>
      </c>
      <c r="N100" s="25"/>
      <c r="O100" s="23" t="s">
        <v>13</v>
      </c>
      <c r="P100" s="23" t="s">
        <v>58</v>
      </c>
      <c r="Q100" s="23" t="s">
        <v>57</v>
      </c>
      <c r="R100" s="23" t="s">
        <v>163</v>
      </c>
      <c r="S100" s="23" t="s">
        <v>37</v>
      </c>
      <c r="T100" s="23" t="s">
        <v>37</v>
      </c>
      <c r="U100" s="23" t="s">
        <v>31</v>
      </c>
      <c r="V100" s="23" t="s">
        <v>66</v>
      </c>
      <c r="W100" s="23"/>
      <c r="X100" s="21" t="s">
        <v>5</v>
      </c>
      <c r="Y100" s="21" t="s">
        <v>42</v>
      </c>
      <c r="Z100" s="23" t="s">
        <v>147</v>
      </c>
      <c r="AA100" s="22">
        <v>3</v>
      </c>
      <c r="AB100" s="22">
        <v>5</v>
      </c>
      <c r="AC100" s="22">
        <v>4</v>
      </c>
      <c r="AD100" s="22">
        <v>5</v>
      </c>
      <c r="AE100" s="22">
        <v>0</v>
      </c>
      <c r="AF100" s="22">
        <v>1</v>
      </c>
      <c r="AG100" s="22">
        <v>3</v>
      </c>
      <c r="AH100" s="22">
        <f>(AA100*$AA$2)+(AB100*$AB$2)+(AC100*$AC$2)+(AD100*$AD$2)+(AE100*$AE$2)+(AF100*$AF$2)+(AG100*$AG$2)</f>
        <v>315</v>
      </c>
      <c r="AI100" s="22">
        <v>5</v>
      </c>
      <c r="AJ100" s="22">
        <v>5</v>
      </c>
      <c r="AK100" s="22">
        <v>3</v>
      </c>
      <c r="AL100" s="22">
        <v>5</v>
      </c>
      <c r="AM100" s="22">
        <v>5</v>
      </c>
      <c r="AN100" s="22">
        <v>5</v>
      </c>
      <c r="AO100" s="22">
        <v>5</v>
      </c>
      <c r="AP100" s="21">
        <f>(AI100*$AI$2)+(AJ100*$AJ$2)+(AK100*$AK$2)+(AL100*$AL$2)+(AM100*$AM$2)+(AN100*$AN$2)+(AO100*$AO$2)</f>
        <v>495</v>
      </c>
      <c r="AQ100" s="21">
        <f>AP100+AH100</f>
        <v>810</v>
      </c>
      <c r="AR100" s="20" t="s">
        <v>589</v>
      </c>
      <c r="AS100" s="20" t="s">
        <v>588</v>
      </c>
      <c r="AT100" s="23" t="s">
        <v>587</v>
      </c>
      <c r="AU100" s="17"/>
      <c r="AV100" s="143" t="s">
        <v>587</v>
      </c>
      <c r="AW100" s="17"/>
      <c r="AX100" s="17"/>
      <c r="AY100" s="17"/>
      <c r="AZ100" s="17">
        <v>0</v>
      </c>
      <c r="BA100" s="17">
        <v>0</v>
      </c>
      <c r="BB100" s="17">
        <v>0</v>
      </c>
      <c r="BC100" s="17"/>
      <c r="BD100" s="52">
        <f>SUM(AX100:BC100)</f>
        <v>0</v>
      </c>
      <c r="BE100" s="17"/>
      <c r="BF100" s="17"/>
      <c r="BG100" s="16" t="s">
        <v>58</v>
      </c>
      <c r="BH100" s="149" t="s">
        <v>586</v>
      </c>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row>
    <row r="101" spans="1:173" ht="80" customHeight="1">
      <c r="A101" s="16"/>
      <c r="B101" s="21">
        <v>1</v>
      </c>
      <c r="C101" s="21" t="s">
        <v>585</v>
      </c>
      <c r="D101" s="21"/>
      <c r="E101" s="69" t="s">
        <v>584</v>
      </c>
      <c r="F101" s="69" t="s">
        <v>583</v>
      </c>
      <c r="G101" s="69" t="s">
        <v>582</v>
      </c>
      <c r="H101" s="29">
        <v>45658</v>
      </c>
      <c r="I101" s="73">
        <v>45809</v>
      </c>
      <c r="J101" s="73">
        <v>45838</v>
      </c>
      <c r="K101" s="54">
        <f>J101-I101</f>
        <v>29</v>
      </c>
      <c r="L101" s="47" t="s">
        <v>14</v>
      </c>
      <c r="M101" s="26" t="s">
        <v>60</v>
      </c>
      <c r="N101" s="22" t="s">
        <v>59</v>
      </c>
      <c r="O101" s="23" t="s">
        <v>13</v>
      </c>
      <c r="P101" s="23" t="s">
        <v>58</v>
      </c>
      <c r="Q101" s="16" t="s">
        <v>57</v>
      </c>
      <c r="R101" s="23" t="s">
        <v>230</v>
      </c>
      <c r="S101" s="23" t="s">
        <v>37</v>
      </c>
      <c r="T101" s="23" t="s">
        <v>581</v>
      </c>
      <c r="U101" s="23" t="s">
        <v>107</v>
      </c>
      <c r="V101" s="23" t="s">
        <v>66</v>
      </c>
      <c r="W101" s="70" t="s">
        <v>27</v>
      </c>
      <c r="X101" s="21" t="s">
        <v>5</v>
      </c>
      <c r="Y101" s="23" t="s">
        <v>4</v>
      </c>
      <c r="Z101" s="22" t="s">
        <v>18</v>
      </c>
      <c r="AA101" s="23">
        <v>3</v>
      </c>
      <c r="AB101" s="23">
        <v>5</v>
      </c>
      <c r="AC101" s="23">
        <v>1</v>
      </c>
      <c r="AD101" s="23">
        <v>3</v>
      </c>
      <c r="AE101" s="23">
        <v>0</v>
      </c>
      <c r="AF101" s="23">
        <v>1</v>
      </c>
      <c r="AG101" s="23">
        <v>3</v>
      </c>
      <c r="AH101" s="22">
        <f>(AA101*$AA$2)+(AB101*$AB$2)+(AC101*$AC$2)+(AD101*$AD$2)+(AE101*$AE$2)+(AF101*$AF$2)+(AG101*$AG$2)</f>
        <v>240</v>
      </c>
      <c r="AI101" s="23">
        <v>5</v>
      </c>
      <c r="AJ101" s="23">
        <v>5</v>
      </c>
      <c r="AK101" s="23">
        <v>5</v>
      </c>
      <c r="AL101" s="23">
        <v>5</v>
      </c>
      <c r="AM101" s="23">
        <v>5</v>
      </c>
      <c r="AN101" s="23">
        <v>5</v>
      </c>
      <c r="AO101" s="23">
        <v>5</v>
      </c>
      <c r="AP101" s="21">
        <f>(AI101*$AI$2)+(AJ101*$AJ$2)+(AK101*$AK$2)+(AL101*$AL$2)+(AM101*$AM$2)+(AN101*$AN$2)+(AO101*$AO$2)</f>
        <v>525</v>
      </c>
      <c r="AQ101" s="23">
        <f>AP101+AH101</f>
        <v>765</v>
      </c>
      <c r="AR101" s="88" t="s">
        <v>58</v>
      </c>
      <c r="AS101" s="106" t="s">
        <v>580</v>
      </c>
      <c r="AT101" s="18" t="s">
        <v>227</v>
      </c>
      <c r="AU101" s="17"/>
      <c r="AV101" s="17" t="s">
        <v>374</v>
      </c>
      <c r="AW101" s="17"/>
      <c r="AX101" s="17"/>
      <c r="AY101" s="17"/>
      <c r="AZ101" s="17">
        <v>0</v>
      </c>
      <c r="BA101" s="17">
        <v>0</v>
      </c>
      <c r="BB101" s="17">
        <v>0</v>
      </c>
      <c r="BC101" s="17"/>
      <c r="BD101" s="52">
        <f>SUM(AX101:BC101)</f>
        <v>0</v>
      </c>
      <c r="BE101" s="17"/>
      <c r="BF101" s="28"/>
      <c r="BG101" s="16" t="s">
        <v>58</v>
      </c>
      <c r="BH101" s="16" t="s">
        <v>58</v>
      </c>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row>
    <row r="102" spans="1:173" s="108" customFormat="1" ht="76" customHeight="1">
      <c r="A102" s="21"/>
      <c r="B102" s="21">
        <v>69</v>
      </c>
      <c r="C102" s="21"/>
      <c r="D102" s="21"/>
      <c r="E102" s="69" t="s">
        <v>579</v>
      </c>
      <c r="F102" s="69" t="s">
        <v>578</v>
      </c>
      <c r="G102" s="69"/>
      <c r="H102" s="29">
        <v>45778</v>
      </c>
      <c r="I102" s="73">
        <v>45810</v>
      </c>
      <c r="J102" s="73">
        <v>45839</v>
      </c>
      <c r="K102" s="54">
        <f>J102-I102</f>
        <v>29</v>
      </c>
      <c r="L102" s="61" t="s">
        <v>14</v>
      </c>
      <c r="M102" s="26" t="s">
        <v>60</v>
      </c>
      <c r="N102" s="25"/>
      <c r="O102" s="23" t="s">
        <v>13</v>
      </c>
      <c r="P102" s="23" t="s">
        <v>58</v>
      </c>
      <c r="Q102" s="21"/>
      <c r="R102" s="21" t="s">
        <v>163</v>
      </c>
      <c r="S102" s="23" t="s">
        <v>37</v>
      </c>
      <c r="T102" s="23" t="s">
        <v>37</v>
      </c>
      <c r="U102" s="143"/>
      <c r="V102" s="23" t="s">
        <v>66</v>
      </c>
      <c r="W102" s="23" t="s">
        <v>27</v>
      </c>
      <c r="X102" s="21" t="s">
        <v>5</v>
      </c>
      <c r="Y102" s="23" t="s">
        <v>126</v>
      </c>
      <c r="Z102" s="22" t="s">
        <v>18</v>
      </c>
      <c r="AA102" s="23">
        <v>3</v>
      </c>
      <c r="AB102" s="23">
        <v>5</v>
      </c>
      <c r="AC102" s="23">
        <v>1</v>
      </c>
      <c r="AD102" s="23">
        <v>5</v>
      </c>
      <c r="AE102" s="23">
        <v>0</v>
      </c>
      <c r="AF102" s="23">
        <v>1</v>
      </c>
      <c r="AG102" s="23">
        <v>5</v>
      </c>
      <c r="AH102" s="22">
        <f>(AA102*$AA$2)+(AB102*$AB$2)+(AC102*$AC$2)+(AD102*$AD$2)+(AE102*$AE$2)+(AF102*$AF$2)+(AG102*$AG$2)</f>
        <v>300</v>
      </c>
      <c r="AI102" s="21">
        <v>5</v>
      </c>
      <c r="AJ102" s="21">
        <v>5</v>
      </c>
      <c r="AK102" s="21">
        <v>2</v>
      </c>
      <c r="AL102" s="21">
        <v>3</v>
      </c>
      <c r="AM102" s="21">
        <v>5</v>
      </c>
      <c r="AN102" s="21">
        <v>3</v>
      </c>
      <c r="AO102" s="21">
        <v>5</v>
      </c>
      <c r="AP102" s="21">
        <f>(AI102*$AI$2)+(AJ102*$AJ$2)+(AK102*$AK$2)+(AL102*$AL$2)+(AM102*$AM$2)+(AN102*$AN$2)+(AO102*$AO$2)</f>
        <v>420</v>
      </c>
      <c r="AQ102" s="21">
        <f>AP102+AH102</f>
        <v>720</v>
      </c>
      <c r="AR102" s="142" t="s">
        <v>577</v>
      </c>
      <c r="AS102" s="20" t="s">
        <v>576</v>
      </c>
      <c r="AT102" s="18" t="s">
        <v>575</v>
      </c>
      <c r="AU102" s="102"/>
      <c r="AV102" s="143" t="s">
        <v>54</v>
      </c>
      <c r="AW102" s="143"/>
      <c r="AX102" s="143"/>
      <c r="AY102" s="143"/>
      <c r="AZ102" s="143"/>
      <c r="BA102" s="143"/>
      <c r="BB102" s="143"/>
      <c r="BC102" s="143"/>
      <c r="BD102" s="52">
        <f>SUM(AX102:BC102)</f>
        <v>0</v>
      </c>
      <c r="BE102" s="102"/>
      <c r="BF102" s="102"/>
      <c r="BG102" s="16" t="s">
        <v>58</v>
      </c>
      <c r="BH102" s="16" t="s">
        <v>58</v>
      </c>
    </row>
    <row r="103" spans="1:173" s="50" customFormat="1" ht="58.75" customHeight="1">
      <c r="A103" s="21"/>
      <c r="B103" s="21">
        <v>1</v>
      </c>
      <c r="C103" s="21" t="s">
        <v>574</v>
      </c>
      <c r="D103" s="21"/>
      <c r="E103" s="69" t="s">
        <v>573</v>
      </c>
      <c r="F103" s="69" t="s">
        <v>572</v>
      </c>
      <c r="G103" s="69" t="s">
        <v>571</v>
      </c>
      <c r="H103" s="29">
        <v>45839</v>
      </c>
      <c r="I103" s="99">
        <v>45839</v>
      </c>
      <c r="J103" s="99">
        <v>45867</v>
      </c>
      <c r="K103" s="54">
        <f>J103-I103</f>
        <v>28</v>
      </c>
      <c r="L103" s="47" t="s">
        <v>14</v>
      </c>
      <c r="M103" s="26" t="s">
        <v>38</v>
      </c>
      <c r="N103" s="25"/>
      <c r="O103" s="23" t="s">
        <v>13</v>
      </c>
      <c r="P103" s="23" t="s">
        <v>58</v>
      </c>
      <c r="Q103" s="23" t="s">
        <v>31</v>
      </c>
      <c r="R103" s="23" t="s">
        <v>163</v>
      </c>
      <c r="S103" s="23" t="s">
        <v>37</v>
      </c>
      <c r="T103" s="23" t="s">
        <v>37</v>
      </c>
      <c r="U103" s="23" t="s">
        <v>31</v>
      </c>
      <c r="V103" s="23" t="s">
        <v>66</v>
      </c>
      <c r="W103" s="23" t="s">
        <v>264</v>
      </c>
      <c r="X103" s="21" t="s">
        <v>5</v>
      </c>
      <c r="Y103" s="21" t="s">
        <v>42</v>
      </c>
      <c r="Z103" s="23" t="s">
        <v>18</v>
      </c>
      <c r="AA103" s="22">
        <v>3</v>
      </c>
      <c r="AB103" s="22">
        <v>5</v>
      </c>
      <c r="AC103" s="22">
        <v>3</v>
      </c>
      <c r="AD103" s="22">
        <v>5</v>
      </c>
      <c r="AE103" s="22">
        <v>4</v>
      </c>
      <c r="AF103" s="22">
        <v>3</v>
      </c>
      <c r="AG103" s="22">
        <v>5</v>
      </c>
      <c r="AH103" s="22">
        <f>(AA103*$AA$2)+(AB103*$AB$2)+(AC103*$AC$2)+(AD103*$AD$2)+(AE103*$AE$2)+(AF103*$AF$2)+(AG103*$AG$2)</f>
        <v>420</v>
      </c>
      <c r="AI103" s="22">
        <v>5</v>
      </c>
      <c r="AJ103" s="22">
        <v>5</v>
      </c>
      <c r="AK103" s="22">
        <v>4</v>
      </c>
      <c r="AL103" s="22">
        <v>5</v>
      </c>
      <c r="AM103" s="22">
        <v>5</v>
      </c>
      <c r="AN103" s="22">
        <v>5</v>
      </c>
      <c r="AO103" s="22">
        <v>5</v>
      </c>
      <c r="AP103" s="21">
        <f>(AI103*$AI$2)+(AJ103*$AJ$2)+(AK103*$AK$2)+(AL103*$AL$2)+(AM103*$AM$2)+(AN103*$AN$2)+(AO103*$AO$2)</f>
        <v>510</v>
      </c>
      <c r="AQ103" s="23">
        <f>AP103+AH103</f>
        <v>930</v>
      </c>
      <c r="AR103" s="20" t="s">
        <v>570</v>
      </c>
      <c r="AS103" s="20" t="s">
        <v>58</v>
      </c>
      <c r="AT103" s="18">
        <v>90000</v>
      </c>
      <c r="AU103" s="17"/>
      <c r="AV103" s="23" t="s">
        <v>262</v>
      </c>
      <c r="AW103" s="17"/>
      <c r="AX103" s="17"/>
      <c r="AY103" s="146"/>
      <c r="AZ103" s="146">
        <v>16236</v>
      </c>
      <c r="BA103" s="146">
        <v>5000</v>
      </c>
      <c r="BB103" s="163">
        <v>0</v>
      </c>
      <c r="BC103" s="146"/>
      <c r="BD103" s="52">
        <f>SUM(AX103:BC103)</f>
        <v>21236</v>
      </c>
      <c r="BE103" s="17" t="s">
        <v>569</v>
      </c>
      <c r="BF103" s="148">
        <v>46235</v>
      </c>
      <c r="BG103" s="16" t="s">
        <v>58</v>
      </c>
      <c r="BH103" s="162" t="s">
        <v>568</v>
      </c>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row>
    <row r="104" spans="1:173" s="50" customFormat="1" ht="44" customHeight="1">
      <c r="A104" s="21"/>
      <c r="B104" s="21">
        <v>1</v>
      </c>
      <c r="C104" s="21"/>
      <c r="D104" s="21"/>
      <c r="E104" s="69" t="s">
        <v>567</v>
      </c>
      <c r="F104" s="69" t="s">
        <v>566</v>
      </c>
      <c r="G104" s="69"/>
      <c r="H104" s="29">
        <v>45839</v>
      </c>
      <c r="I104" s="73">
        <v>45853</v>
      </c>
      <c r="J104" s="73">
        <v>45877</v>
      </c>
      <c r="K104" s="54">
        <f>J104-I104</f>
        <v>24</v>
      </c>
      <c r="L104" s="47" t="s">
        <v>14</v>
      </c>
      <c r="M104" s="26" t="s">
        <v>74</v>
      </c>
      <c r="N104" s="25"/>
      <c r="O104" s="23" t="s">
        <v>13</v>
      </c>
      <c r="P104" s="23" t="s">
        <v>58</v>
      </c>
      <c r="Q104" s="23" t="s">
        <v>455</v>
      </c>
      <c r="R104" s="23" t="s">
        <v>126</v>
      </c>
      <c r="S104" s="23" t="s">
        <v>210</v>
      </c>
      <c r="T104" s="23" t="s">
        <v>210</v>
      </c>
      <c r="U104" s="23"/>
      <c r="V104" s="23"/>
      <c r="W104" s="23" t="s">
        <v>27</v>
      </c>
      <c r="X104" s="21" t="s">
        <v>5</v>
      </c>
      <c r="Y104" s="23" t="s">
        <v>126</v>
      </c>
      <c r="Z104" s="23" t="s">
        <v>18</v>
      </c>
      <c r="AA104" s="22">
        <v>3</v>
      </c>
      <c r="AB104" s="22">
        <v>5</v>
      </c>
      <c r="AC104" s="22">
        <v>1</v>
      </c>
      <c r="AD104" s="22">
        <v>5</v>
      </c>
      <c r="AE104" s="22">
        <v>0</v>
      </c>
      <c r="AF104" s="22">
        <v>3</v>
      </c>
      <c r="AG104" s="22">
        <v>3</v>
      </c>
      <c r="AH104" s="22">
        <f>(AA104*$AA$2)+(AB104*$AB$2)+(AC104*$AC$2)+(AD104*$AD$2)+(AE104*$AE$2)+(AF104*$AF$2)+(AG104*$AG$2)</f>
        <v>300</v>
      </c>
      <c r="AI104" s="22">
        <v>5</v>
      </c>
      <c r="AJ104" s="22">
        <v>5</v>
      </c>
      <c r="AK104" s="22">
        <v>3</v>
      </c>
      <c r="AL104" s="22">
        <v>5</v>
      </c>
      <c r="AM104" s="22">
        <v>5</v>
      </c>
      <c r="AN104" s="22">
        <v>5</v>
      </c>
      <c r="AO104" s="22">
        <v>5</v>
      </c>
      <c r="AP104" s="21">
        <f>(AI104*$AI$2)+(AJ104*$AJ$2)+(AK104*$AK$2)+(AL104*$AL$2)+(AM104*$AM$2)+(AN104*$AN$2)+(AO104*$AO$2)</f>
        <v>495</v>
      </c>
      <c r="AQ104" s="23">
        <f>AP104+AH104</f>
        <v>795</v>
      </c>
      <c r="AR104" s="80" t="s">
        <v>565</v>
      </c>
      <c r="AS104" s="80"/>
      <c r="AT104" s="18" t="s">
        <v>227</v>
      </c>
      <c r="AU104" s="17"/>
      <c r="AV104" s="102" t="s">
        <v>54</v>
      </c>
      <c r="AW104" s="17"/>
      <c r="AX104" s="17"/>
      <c r="AY104" s="17"/>
      <c r="AZ104" s="17"/>
      <c r="BA104" s="17"/>
      <c r="BB104" s="17"/>
      <c r="BC104" s="17"/>
      <c r="BD104" s="52">
        <f>SUM(AX104:BC104)</f>
        <v>0</v>
      </c>
      <c r="BE104" s="17"/>
      <c r="BF104" s="17"/>
      <c r="BG104" s="21" t="s">
        <v>58</v>
      </c>
      <c r="BH104" s="101"/>
      <c r="BI104" s="108"/>
      <c r="BJ104" s="108"/>
      <c r="BK104" s="108"/>
      <c r="BL104" s="108"/>
      <c r="BM104" s="108"/>
      <c r="BN104" s="108"/>
      <c r="BO104" s="108"/>
      <c r="BP104" s="108"/>
      <c r="BQ104" s="108"/>
      <c r="BR104" s="108"/>
      <c r="BS104" s="108"/>
      <c r="BT104" s="108"/>
      <c r="BU104" s="108"/>
      <c r="BV104" s="108"/>
      <c r="BW104" s="108"/>
      <c r="BX104" s="108"/>
      <c r="BY104" s="108"/>
      <c r="BZ104" s="108"/>
      <c r="CA104" s="108"/>
      <c r="CB104" s="108"/>
      <c r="CC104" s="108"/>
      <c r="CD104" s="108"/>
      <c r="CE104" s="108"/>
      <c r="CF104" s="108"/>
      <c r="CG104" s="108"/>
      <c r="CH104" s="108"/>
      <c r="CI104" s="108"/>
      <c r="CJ104" s="108"/>
      <c r="CK104" s="108"/>
      <c r="CL104" s="108"/>
      <c r="CM104" s="108"/>
      <c r="CN104" s="108"/>
      <c r="CO104" s="108"/>
      <c r="CP104" s="108"/>
      <c r="CQ104" s="108"/>
      <c r="CR104" s="108"/>
      <c r="CS104" s="108"/>
      <c r="CT104" s="108"/>
      <c r="CU104" s="108"/>
      <c r="CV104" s="108"/>
      <c r="CW104" s="108"/>
      <c r="CX104" s="108"/>
      <c r="CY104" s="108"/>
      <c r="CZ104" s="108"/>
      <c r="DA104" s="108"/>
      <c r="DB104" s="108"/>
      <c r="DC104" s="108"/>
      <c r="DD104" s="108"/>
      <c r="DE104" s="108"/>
      <c r="DF104" s="108"/>
      <c r="DG104" s="108"/>
      <c r="DH104" s="108"/>
      <c r="DI104" s="108"/>
      <c r="DJ104" s="108"/>
      <c r="DK104" s="108"/>
      <c r="DL104" s="108"/>
      <c r="DM104" s="108"/>
      <c r="DN104" s="108"/>
      <c r="DO104" s="108"/>
      <c r="DP104" s="108"/>
      <c r="DQ104" s="108"/>
      <c r="DR104" s="108"/>
      <c r="DS104" s="108"/>
      <c r="DT104" s="108"/>
      <c r="DU104" s="108"/>
      <c r="DV104" s="108"/>
      <c r="DW104" s="108"/>
      <c r="DX104" s="108"/>
      <c r="DY104" s="108"/>
      <c r="DZ104" s="108"/>
      <c r="EA104" s="108"/>
      <c r="EB104" s="108"/>
      <c r="EC104" s="108"/>
      <c r="ED104" s="108"/>
      <c r="EE104" s="108"/>
      <c r="EF104" s="108"/>
      <c r="EG104" s="108"/>
      <c r="EH104" s="108"/>
      <c r="EI104" s="108"/>
      <c r="EJ104" s="108"/>
      <c r="EK104" s="108"/>
      <c r="EL104" s="108"/>
      <c r="EM104" s="108"/>
      <c r="EN104" s="108"/>
      <c r="EO104" s="108"/>
      <c r="EP104" s="108"/>
      <c r="EQ104" s="108"/>
      <c r="ER104" s="108"/>
      <c r="ES104" s="108"/>
      <c r="ET104" s="108"/>
      <c r="EU104" s="108"/>
      <c r="EV104" s="108"/>
      <c r="EW104" s="108"/>
      <c r="EX104" s="108"/>
      <c r="EY104" s="108"/>
      <c r="EZ104" s="108"/>
      <c r="FA104" s="108"/>
      <c r="FB104" s="108"/>
      <c r="FC104" s="108"/>
      <c r="FD104" s="108"/>
      <c r="FE104" s="108"/>
      <c r="FF104" s="108"/>
      <c r="FG104" s="108"/>
      <c r="FH104" s="108"/>
      <c r="FI104" s="108"/>
      <c r="FJ104" s="108"/>
      <c r="FK104" s="108"/>
      <c r="FL104" s="108"/>
      <c r="FM104" s="108"/>
      <c r="FN104" s="108"/>
      <c r="FO104" s="108"/>
      <c r="FP104" s="108"/>
      <c r="FQ104" s="108"/>
    </row>
    <row r="105" spans="1:173" s="50" customFormat="1" ht="62.5" customHeight="1">
      <c r="A105" s="21" t="s">
        <v>564</v>
      </c>
      <c r="B105" s="21">
        <v>89</v>
      </c>
      <c r="C105" s="21"/>
      <c r="D105" s="21"/>
      <c r="E105" s="69" t="s">
        <v>563</v>
      </c>
      <c r="F105" s="69" t="s">
        <v>562</v>
      </c>
      <c r="G105" s="69"/>
      <c r="H105" s="29">
        <v>45962</v>
      </c>
      <c r="I105" s="73"/>
      <c r="J105" s="73"/>
      <c r="K105" s="54"/>
      <c r="L105" s="47" t="s">
        <v>39</v>
      </c>
      <c r="M105" s="26" t="s">
        <v>38</v>
      </c>
      <c r="N105" s="26"/>
      <c r="O105" s="23" t="s">
        <v>50</v>
      </c>
      <c r="P105" s="23" t="s">
        <v>12</v>
      </c>
      <c r="Q105" s="23" t="s">
        <v>561</v>
      </c>
      <c r="R105" s="23"/>
      <c r="S105" s="23" t="s">
        <v>128</v>
      </c>
      <c r="T105" s="23" t="s">
        <v>483</v>
      </c>
      <c r="U105" s="23" t="s">
        <v>560</v>
      </c>
      <c r="V105" s="23" t="s">
        <v>66</v>
      </c>
      <c r="W105" s="23" t="s">
        <v>559</v>
      </c>
      <c r="X105" s="21" t="s">
        <v>5</v>
      </c>
      <c r="Y105" s="21" t="s">
        <v>126</v>
      </c>
      <c r="Z105" s="23" t="s">
        <v>18</v>
      </c>
      <c r="AA105" s="21">
        <v>5</v>
      </c>
      <c r="AB105" s="21">
        <v>5</v>
      </c>
      <c r="AC105" s="21">
        <v>2</v>
      </c>
      <c r="AD105" s="21">
        <v>5</v>
      </c>
      <c r="AE105" s="21">
        <v>0</v>
      </c>
      <c r="AF105" s="21">
        <v>5</v>
      </c>
      <c r="AG105" s="21">
        <v>5</v>
      </c>
      <c r="AH105" s="22">
        <f>(AA105*$AA$2)+(AB105*$AB$2)+(AC105*$AC$2)+(AD105*$AD$2)+(AE105*$AE$2)+(AF105*$AF$2)+(AG105*$AG$2)</f>
        <v>405</v>
      </c>
      <c r="AI105" s="21">
        <v>3</v>
      </c>
      <c r="AJ105" s="21">
        <v>3</v>
      </c>
      <c r="AK105" s="21">
        <v>2</v>
      </c>
      <c r="AL105" s="21">
        <v>5</v>
      </c>
      <c r="AM105" s="21">
        <v>1</v>
      </c>
      <c r="AN105" s="21">
        <v>3</v>
      </c>
      <c r="AO105" s="21">
        <v>3</v>
      </c>
      <c r="AP105" s="21">
        <f>(AI105*$AI$2)+(AJ105*$AJ$2)+(AK105*$AK$2)+(AL105*$AL$2)+(AM105*$AM$2)+(AN105*$AN$2)+(AO105*$AO$2)</f>
        <v>300</v>
      </c>
      <c r="AQ105" s="21">
        <f>AP105+AH105</f>
        <v>705</v>
      </c>
      <c r="AR105" s="88" t="s">
        <v>558</v>
      </c>
      <c r="AS105" s="88" t="s">
        <v>557</v>
      </c>
      <c r="AT105" s="18"/>
      <c r="AU105" s="17"/>
      <c r="AV105" s="23" t="s">
        <v>556</v>
      </c>
      <c r="AW105" s="23"/>
      <c r="AX105" s="23"/>
      <c r="AY105" s="23"/>
      <c r="AZ105" s="23"/>
      <c r="BA105" s="23"/>
      <c r="BB105" s="23"/>
      <c r="BC105" s="23"/>
      <c r="BD105" s="52">
        <f>SUM(AX105:BC105)</f>
        <v>0</v>
      </c>
      <c r="BE105" s="17"/>
      <c r="BF105" s="17"/>
      <c r="BG105" s="16" t="s">
        <v>0</v>
      </c>
      <c r="BH105" s="48"/>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row>
    <row r="106" spans="1:173" s="50" customFormat="1" ht="37.5" customHeight="1">
      <c r="A106" s="21"/>
      <c r="B106" s="21">
        <v>87</v>
      </c>
      <c r="C106" s="21"/>
      <c r="D106" s="21"/>
      <c r="E106" s="69" t="s">
        <v>555</v>
      </c>
      <c r="F106" s="69" t="s">
        <v>554</v>
      </c>
      <c r="G106" s="69" t="s">
        <v>553</v>
      </c>
      <c r="H106" s="29">
        <v>45870</v>
      </c>
      <c r="I106" s="73"/>
      <c r="J106" s="73"/>
      <c r="K106" s="54"/>
      <c r="L106" s="47" t="s">
        <v>39</v>
      </c>
      <c r="M106" s="26" t="s">
        <v>38</v>
      </c>
      <c r="N106" s="25"/>
      <c r="O106" s="70" t="s">
        <v>13</v>
      </c>
      <c r="P106" s="23" t="s">
        <v>12</v>
      </c>
      <c r="Q106" s="23" t="s">
        <v>455</v>
      </c>
      <c r="R106" s="23" t="s">
        <v>163</v>
      </c>
      <c r="S106" s="23" t="s">
        <v>109</v>
      </c>
      <c r="T106" s="23" t="s">
        <v>109</v>
      </c>
      <c r="U106" s="23" t="s">
        <v>31</v>
      </c>
      <c r="V106" s="23" t="s">
        <v>66</v>
      </c>
      <c r="W106" s="23" t="s">
        <v>552</v>
      </c>
      <c r="X106" s="21" t="s">
        <v>5</v>
      </c>
      <c r="Y106" s="21" t="s">
        <v>42</v>
      </c>
      <c r="Z106" s="23" t="s">
        <v>18</v>
      </c>
      <c r="AA106" s="22">
        <v>3</v>
      </c>
      <c r="AB106" s="22">
        <v>5</v>
      </c>
      <c r="AC106" s="22">
        <v>1</v>
      </c>
      <c r="AD106" s="22">
        <v>5</v>
      </c>
      <c r="AE106" s="22">
        <v>0</v>
      </c>
      <c r="AF106" s="22">
        <v>1</v>
      </c>
      <c r="AG106" s="22">
        <v>5</v>
      </c>
      <c r="AH106" s="22">
        <f>(AA106*$AA$2)+(AB106*$AB$2)+(AC106*$AC$2)+(AD106*$AD$2)+(AE106*$AE$2)+(AF106*$AF$2)+(AG106*$AG$2)</f>
        <v>300</v>
      </c>
      <c r="AI106" s="22">
        <v>5</v>
      </c>
      <c r="AJ106" s="22">
        <v>5</v>
      </c>
      <c r="AK106" s="22">
        <v>3</v>
      </c>
      <c r="AL106" s="22">
        <v>3</v>
      </c>
      <c r="AM106" s="22">
        <v>3</v>
      </c>
      <c r="AN106" s="22">
        <v>3</v>
      </c>
      <c r="AO106" s="22">
        <v>5</v>
      </c>
      <c r="AP106" s="7">
        <f>(AI106*$AI$2)+(AJ106*$AJ$2)+(AK106*$AK$2)+(AL106*$AL$2)+(AM106*$AM$2)+(AN106*$AN$2)+(AO106*$AO$2)</f>
        <v>405</v>
      </c>
      <c r="AQ106" s="21">
        <f>AP106+AH106</f>
        <v>705</v>
      </c>
      <c r="AR106" s="20" t="s">
        <v>551</v>
      </c>
      <c r="AS106" s="20" t="s">
        <v>550</v>
      </c>
      <c r="AT106" s="18"/>
      <c r="AU106" s="17"/>
      <c r="AV106" s="17" t="s">
        <v>549</v>
      </c>
      <c r="AW106" s="17"/>
      <c r="AX106" s="17"/>
      <c r="AY106" s="17"/>
      <c r="AZ106" s="17"/>
      <c r="BA106" s="17"/>
      <c r="BB106" s="17"/>
      <c r="BC106" s="17"/>
      <c r="BD106" s="52">
        <f>SUM(AX106:BC106)</f>
        <v>0</v>
      </c>
      <c r="BE106" s="17"/>
      <c r="BF106" s="77"/>
      <c r="BG106" s="16" t="s">
        <v>0</v>
      </c>
      <c r="BH106" s="106" t="s">
        <v>548</v>
      </c>
      <c r="BI106" s="108"/>
      <c r="BJ106" s="108"/>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row>
    <row r="107" spans="1:173" s="50" customFormat="1" ht="75" customHeight="1">
      <c r="A107" s="161" t="s">
        <v>547</v>
      </c>
      <c r="B107" s="21">
        <v>101</v>
      </c>
      <c r="C107" s="21"/>
      <c r="D107" s="21"/>
      <c r="E107" s="69" t="s">
        <v>546</v>
      </c>
      <c r="F107" s="69" t="s">
        <v>545</v>
      </c>
      <c r="G107" s="69" t="s">
        <v>544</v>
      </c>
      <c r="H107" s="29">
        <v>45627</v>
      </c>
      <c r="I107" s="73"/>
      <c r="J107" s="73"/>
      <c r="K107" s="54"/>
      <c r="L107" s="61" t="s">
        <v>39</v>
      </c>
      <c r="M107" s="26" t="s">
        <v>38</v>
      </c>
      <c r="N107" s="25"/>
      <c r="O107" s="23" t="s">
        <v>69</v>
      </c>
      <c r="P107" s="23" t="s">
        <v>12</v>
      </c>
      <c r="Q107" s="23" t="s">
        <v>151</v>
      </c>
      <c r="R107" s="23"/>
      <c r="S107" s="23" t="s">
        <v>378</v>
      </c>
      <c r="T107" s="23" t="s">
        <v>378</v>
      </c>
      <c r="U107" s="23" t="s">
        <v>221</v>
      </c>
      <c r="V107" s="23" t="s">
        <v>163</v>
      </c>
      <c r="W107" s="23" t="s">
        <v>543</v>
      </c>
      <c r="X107" s="21" t="s">
        <v>5</v>
      </c>
      <c r="Y107" s="21" t="s">
        <v>42</v>
      </c>
      <c r="Z107" s="23" t="s">
        <v>18</v>
      </c>
      <c r="AA107" s="21">
        <v>5</v>
      </c>
      <c r="AB107" s="21">
        <v>5</v>
      </c>
      <c r="AC107" s="21">
        <v>4</v>
      </c>
      <c r="AD107" s="21">
        <v>5</v>
      </c>
      <c r="AE107" s="21">
        <v>3</v>
      </c>
      <c r="AF107" s="21">
        <v>3</v>
      </c>
      <c r="AG107" s="21">
        <v>3</v>
      </c>
      <c r="AH107" s="22">
        <f>(AA107*$AA$2)+(AB107*$AB$2)+(AC107*$AC$2)+(AD107*$AD$2)+(AE107*$AE$2)+(AF107*$AF$2)+(AG107*$AG$2)</f>
        <v>420</v>
      </c>
      <c r="AI107" s="21">
        <v>5</v>
      </c>
      <c r="AJ107" s="21">
        <v>4</v>
      </c>
      <c r="AK107" s="21">
        <v>2</v>
      </c>
      <c r="AL107" s="21">
        <v>3</v>
      </c>
      <c r="AM107" s="21">
        <v>1</v>
      </c>
      <c r="AN107" s="21">
        <v>1</v>
      </c>
      <c r="AO107" s="21">
        <v>3</v>
      </c>
      <c r="AP107" s="21">
        <f>(AI107*$AI$2)+(AJ107*$AJ$2)+(AK107*$AK$2)+(AL107*$AL$2)+(AM107*$AM$2)+(AN107*$AN$2)+(AO107*$AO$2)</f>
        <v>285</v>
      </c>
      <c r="AQ107" s="21">
        <f>AP107+AH107</f>
        <v>705</v>
      </c>
      <c r="AR107" s="69" t="s">
        <v>542</v>
      </c>
      <c r="AS107" s="69" t="s">
        <v>541</v>
      </c>
      <c r="AT107" s="18">
        <v>117000</v>
      </c>
      <c r="AU107" s="17"/>
      <c r="AV107" s="17" t="s">
        <v>540</v>
      </c>
      <c r="AW107" s="17"/>
      <c r="AX107" s="17"/>
      <c r="AY107" s="17"/>
      <c r="AZ107" s="17"/>
      <c r="BA107" s="17"/>
      <c r="BB107" s="17"/>
      <c r="BC107" s="17"/>
      <c r="BD107" s="52">
        <f>SUM(AX107:BC107)</f>
        <v>0</v>
      </c>
      <c r="BE107" s="17"/>
      <c r="BF107" s="17"/>
      <c r="BG107" s="16" t="s">
        <v>475</v>
      </c>
      <c r="BH107" s="70" t="s">
        <v>539</v>
      </c>
      <c r="BI107" s="1"/>
      <c r="BJ107" s="1"/>
      <c r="BK107" s="113"/>
      <c r="BL107" s="113"/>
      <c r="BM107" s="113"/>
      <c r="BN107" s="113"/>
      <c r="BO107" s="113"/>
      <c r="BP107" s="113"/>
      <c r="BQ107" s="113"/>
      <c r="BR107" s="113"/>
      <c r="BS107" s="113"/>
      <c r="BT107" s="113"/>
      <c r="BU107" s="113"/>
      <c r="BV107" s="113"/>
      <c r="BW107" s="113"/>
      <c r="BX107" s="113"/>
      <c r="BY107" s="113"/>
      <c r="BZ107" s="113"/>
      <c r="CA107" s="113"/>
      <c r="CB107" s="113"/>
      <c r="CC107" s="113"/>
      <c r="CD107" s="113"/>
      <c r="CE107" s="113"/>
      <c r="CF107" s="113"/>
      <c r="CG107" s="113"/>
      <c r="CH107" s="113"/>
      <c r="CI107" s="113"/>
      <c r="CJ107" s="113"/>
      <c r="CK107" s="113"/>
      <c r="CL107" s="113"/>
      <c r="CM107" s="113"/>
      <c r="CN107" s="113"/>
      <c r="CO107" s="113"/>
      <c r="CP107" s="113"/>
      <c r="CQ107" s="113"/>
      <c r="CR107" s="113"/>
      <c r="CS107" s="113"/>
      <c r="CT107" s="113"/>
      <c r="CU107" s="113"/>
      <c r="CV107" s="113"/>
      <c r="CW107" s="113"/>
      <c r="CX107" s="113"/>
      <c r="CY107" s="113"/>
      <c r="CZ107" s="113"/>
      <c r="DA107" s="113"/>
      <c r="DB107" s="113"/>
      <c r="DC107" s="113"/>
      <c r="DD107" s="113"/>
      <c r="DE107" s="113"/>
      <c r="DF107" s="113"/>
      <c r="DG107" s="113"/>
      <c r="DH107" s="113"/>
      <c r="DI107" s="113"/>
      <c r="DJ107" s="113"/>
      <c r="DK107" s="113"/>
      <c r="DL107" s="113"/>
      <c r="DM107" s="113"/>
      <c r="DN107" s="113"/>
      <c r="DO107" s="113"/>
      <c r="DP107" s="113"/>
      <c r="DQ107" s="113"/>
      <c r="DR107" s="113"/>
      <c r="DS107" s="113"/>
      <c r="DT107" s="113"/>
      <c r="DU107" s="113"/>
      <c r="DV107" s="113"/>
      <c r="DW107" s="113"/>
      <c r="DX107" s="113"/>
      <c r="DY107" s="113"/>
      <c r="DZ107" s="113"/>
      <c r="EA107" s="113"/>
      <c r="EB107" s="113"/>
      <c r="EC107" s="113"/>
      <c r="ED107" s="113"/>
      <c r="EE107" s="113"/>
      <c r="EF107" s="113"/>
      <c r="EG107" s="113"/>
      <c r="EH107" s="113"/>
      <c r="EI107" s="113"/>
      <c r="EJ107" s="113"/>
      <c r="EK107" s="113"/>
      <c r="EL107" s="113"/>
      <c r="EM107" s="113"/>
      <c r="EN107" s="113"/>
      <c r="EO107" s="113"/>
      <c r="EP107" s="113"/>
      <c r="EQ107" s="113"/>
      <c r="ER107" s="113"/>
      <c r="ES107" s="113"/>
      <c r="ET107" s="113"/>
      <c r="EU107" s="113"/>
      <c r="EV107" s="113"/>
      <c r="EW107" s="113"/>
      <c r="EX107" s="113"/>
      <c r="EY107" s="113"/>
      <c r="EZ107" s="113"/>
      <c r="FA107" s="113"/>
      <c r="FB107" s="113"/>
      <c r="FC107" s="113"/>
      <c r="FD107" s="113"/>
      <c r="FE107" s="113"/>
      <c r="FF107" s="113"/>
      <c r="FG107" s="113"/>
      <c r="FH107" s="113"/>
      <c r="FI107" s="113"/>
      <c r="FJ107" s="113"/>
      <c r="FK107" s="113"/>
      <c r="FL107" s="113"/>
      <c r="FM107" s="113"/>
      <c r="FN107" s="113"/>
      <c r="FO107" s="113"/>
      <c r="FP107" s="113"/>
      <c r="FQ107" s="113"/>
    </row>
    <row r="108" spans="1:173" ht="39">
      <c r="A108" s="21"/>
      <c r="B108" s="21"/>
      <c r="C108" s="32"/>
      <c r="D108" s="21"/>
      <c r="E108" s="69" t="s">
        <v>538</v>
      </c>
      <c r="F108" s="69" t="s">
        <v>537</v>
      </c>
      <c r="G108" s="69" t="s">
        <v>536</v>
      </c>
      <c r="H108" s="29"/>
      <c r="I108" s="29"/>
      <c r="J108" s="29"/>
      <c r="K108" s="76"/>
      <c r="L108" s="61" t="s">
        <v>39</v>
      </c>
      <c r="M108" s="26" t="s">
        <v>38</v>
      </c>
      <c r="N108" s="25"/>
      <c r="O108" s="23" t="s">
        <v>69</v>
      </c>
      <c r="P108" s="23" t="s">
        <v>12</v>
      </c>
      <c r="Q108" s="23"/>
      <c r="R108" s="23" t="s">
        <v>163</v>
      </c>
      <c r="S108" s="23" t="s">
        <v>37</v>
      </c>
      <c r="T108" s="23"/>
      <c r="U108" s="23"/>
      <c r="V108" s="23" t="s">
        <v>28</v>
      </c>
      <c r="W108" s="23"/>
      <c r="X108" s="21" t="s">
        <v>5</v>
      </c>
      <c r="Y108" s="21"/>
      <c r="Z108" s="67" t="s">
        <v>18</v>
      </c>
      <c r="AA108" s="22">
        <v>5</v>
      </c>
      <c r="AB108" s="22">
        <v>5</v>
      </c>
      <c r="AC108" s="22">
        <v>4</v>
      </c>
      <c r="AD108" s="22">
        <v>5</v>
      </c>
      <c r="AE108" s="22">
        <v>3</v>
      </c>
      <c r="AF108" s="22">
        <v>3</v>
      </c>
      <c r="AG108" s="22">
        <v>3</v>
      </c>
      <c r="AH108" s="22">
        <f>(AA108*$AA$2)+(AB108*$AB$2)+(AC108*$AC$2)+(AD108*$AD$2)+(AE108*$AE$2)+(AF108*$AF$2)+(AG108*$AG$2)</f>
        <v>420</v>
      </c>
      <c r="AI108" s="22">
        <v>1</v>
      </c>
      <c r="AJ108" s="22">
        <v>4</v>
      </c>
      <c r="AK108" s="22">
        <v>2</v>
      </c>
      <c r="AL108" s="22">
        <v>3</v>
      </c>
      <c r="AM108" s="22">
        <v>3</v>
      </c>
      <c r="AN108" s="22">
        <v>3</v>
      </c>
      <c r="AO108" s="22">
        <v>3</v>
      </c>
      <c r="AP108" s="21">
        <f>(AI108*$AI$2)+(AJ108*$AJ$2)+(AK108*$AK$2)+(AL108*$AL$2)+(AM108*$AM$2)+(AN108*$AN$2)+(AO108*$AO$2)</f>
        <v>285</v>
      </c>
      <c r="AQ108" s="21">
        <f>AP108+AH108</f>
        <v>705</v>
      </c>
      <c r="AR108" s="20"/>
      <c r="AS108" s="20"/>
      <c r="AT108" s="18"/>
      <c r="AU108" s="17"/>
      <c r="AV108" s="17"/>
      <c r="AW108" s="17"/>
      <c r="AX108" s="17"/>
      <c r="AY108" s="17"/>
      <c r="AZ108" s="17"/>
      <c r="BA108" s="17"/>
      <c r="BB108" s="17"/>
      <c r="BC108" s="17"/>
      <c r="BD108" s="17"/>
      <c r="BE108" s="17"/>
      <c r="BF108" s="107"/>
      <c r="BG108" s="16"/>
      <c r="BH108" s="48"/>
    </row>
    <row r="109" spans="1:173" ht="65">
      <c r="A109" s="21" t="s">
        <v>535</v>
      </c>
      <c r="B109" s="21">
        <v>78</v>
      </c>
      <c r="C109" s="21"/>
      <c r="D109" s="21"/>
      <c r="E109" s="69" t="s">
        <v>534</v>
      </c>
      <c r="F109" s="69" t="s">
        <v>533</v>
      </c>
      <c r="G109" s="69"/>
      <c r="H109" s="29">
        <v>45627</v>
      </c>
      <c r="I109" s="73"/>
      <c r="J109" s="73"/>
      <c r="K109" s="54"/>
      <c r="L109" s="61" t="s">
        <v>112</v>
      </c>
      <c r="M109" s="26" t="s">
        <v>60</v>
      </c>
      <c r="N109" s="26"/>
      <c r="O109" s="23" t="s">
        <v>45</v>
      </c>
      <c r="P109" s="23" t="s">
        <v>12</v>
      </c>
      <c r="Q109" s="23" t="s">
        <v>93</v>
      </c>
      <c r="R109" s="23" t="s">
        <v>340</v>
      </c>
      <c r="S109" s="23" t="s">
        <v>37</v>
      </c>
      <c r="T109" s="23" t="s">
        <v>532</v>
      </c>
      <c r="U109" s="23" t="s">
        <v>531</v>
      </c>
      <c r="V109" s="23" t="s">
        <v>99</v>
      </c>
      <c r="W109" s="22" t="s">
        <v>340</v>
      </c>
      <c r="X109" s="21" t="s">
        <v>5</v>
      </c>
      <c r="Y109" s="23" t="s">
        <v>126</v>
      </c>
      <c r="Z109" s="23" t="s">
        <v>147</v>
      </c>
      <c r="AA109" s="23">
        <v>3</v>
      </c>
      <c r="AB109" s="23">
        <v>5</v>
      </c>
      <c r="AC109" s="23">
        <v>3</v>
      </c>
      <c r="AD109" s="23">
        <v>5</v>
      </c>
      <c r="AE109" s="23">
        <v>0</v>
      </c>
      <c r="AF109" s="23">
        <v>1</v>
      </c>
      <c r="AG109" s="23">
        <v>5</v>
      </c>
      <c r="AH109" s="22">
        <f>(AA109*$AA$2)+(AB109*$AB$2)+(AC109*$AC$2)+(AD109*$AD$2)+(AE109*$AE$2)+(AF109*$AF$2)+(AG109*$AG$2)</f>
        <v>330</v>
      </c>
      <c r="AI109" s="23">
        <v>4</v>
      </c>
      <c r="AJ109" s="23">
        <v>5</v>
      </c>
      <c r="AK109" s="23">
        <v>2</v>
      </c>
      <c r="AL109" s="23">
        <v>3</v>
      </c>
      <c r="AM109" s="23">
        <v>3</v>
      </c>
      <c r="AN109" s="23">
        <v>3</v>
      </c>
      <c r="AO109" s="23">
        <v>5</v>
      </c>
      <c r="AP109" s="21">
        <f>(AI109*$AI$2)+(AJ109*$AJ$2)+(AK109*$AK$2)+(AL109*$AL$2)+(AM109*$AM$2)+(AN109*$AN$2)+(AO109*$AO$2)</f>
        <v>375</v>
      </c>
      <c r="AQ109" s="21">
        <f>AP109+AH109</f>
        <v>705</v>
      </c>
      <c r="AR109" s="88" t="s">
        <v>530</v>
      </c>
      <c r="AS109" s="88" t="s">
        <v>529</v>
      </c>
      <c r="AT109" s="18"/>
      <c r="AU109" s="52"/>
      <c r="AV109" s="23" t="s">
        <v>528</v>
      </c>
      <c r="AW109" s="52"/>
      <c r="AX109" s="23"/>
      <c r="AY109" s="23"/>
      <c r="AZ109" s="23"/>
      <c r="BA109" s="23"/>
      <c r="BB109" s="23"/>
      <c r="BC109" s="23"/>
      <c r="BD109" s="52">
        <f>SUM(AX109:BC109)</f>
        <v>0</v>
      </c>
      <c r="BE109" s="17"/>
      <c r="BF109" s="17"/>
      <c r="BG109" s="16" t="s">
        <v>0</v>
      </c>
      <c r="BH109" s="48"/>
      <c r="BI109" s="113"/>
      <c r="BJ109" s="113"/>
    </row>
    <row r="110" spans="1:173" ht="42">
      <c r="A110" s="21"/>
      <c r="B110" s="21">
        <v>9</v>
      </c>
      <c r="C110" s="21"/>
      <c r="D110" s="21">
        <v>27154</v>
      </c>
      <c r="E110" s="69" t="s">
        <v>527</v>
      </c>
      <c r="F110" s="69" t="s">
        <v>526</v>
      </c>
      <c r="G110" s="69"/>
      <c r="H110" s="29" t="s">
        <v>107</v>
      </c>
      <c r="I110" s="73">
        <v>45627</v>
      </c>
      <c r="J110" s="73">
        <v>46023</v>
      </c>
      <c r="K110" s="103">
        <f>$K$2-I110</f>
        <v>303</v>
      </c>
      <c r="L110" s="47" t="s">
        <v>14</v>
      </c>
      <c r="M110" s="26" t="s">
        <v>38</v>
      </c>
      <c r="N110" s="26"/>
      <c r="O110" s="134" t="s">
        <v>69</v>
      </c>
      <c r="P110" s="23" t="s">
        <v>33</v>
      </c>
      <c r="Q110" s="23" t="s">
        <v>525</v>
      </c>
      <c r="R110" s="23"/>
      <c r="S110" s="134" t="s">
        <v>37</v>
      </c>
      <c r="T110" s="134" t="s">
        <v>37</v>
      </c>
      <c r="U110" s="23" t="s">
        <v>524</v>
      </c>
      <c r="V110" s="23" t="s">
        <v>66</v>
      </c>
      <c r="W110" s="22" t="s">
        <v>523</v>
      </c>
      <c r="X110" s="21" t="s">
        <v>5</v>
      </c>
      <c r="Y110" s="23" t="s">
        <v>126</v>
      </c>
      <c r="Z110" s="22" t="s">
        <v>18</v>
      </c>
      <c r="AA110" s="22">
        <v>3</v>
      </c>
      <c r="AB110" s="22">
        <v>5</v>
      </c>
      <c r="AC110" s="22">
        <v>3</v>
      </c>
      <c r="AD110" s="22">
        <v>5</v>
      </c>
      <c r="AE110" s="22">
        <v>0</v>
      </c>
      <c r="AF110" s="17">
        <v>3</v>
      </c>
      <c r="AG110" s="22">
        <v>5</v>
      </c>
      <c r="AH110" s="22">
        <f>(AA110*$AA$2)+(AB110*$AB$2)+(AC110*$AC$2)+(AD110*$AD$2)+(AE110*$AE$2)+(AF110*$AF$2)+(AG110*$AG$2)</f>
        <v>360</v>
      </c>
      <c r="AI110" s="22">
        <v>5</v>
      </c>
      <c r="AJ110" s="22">
        <v>5</v>
      </c>
      <c r="AK110" s="22">
        <v>3</v>
      </c>
      <c r="AL110" s="22">
        <v>5</v>
      </c>
      <c r="AM110" s="22">
        <v>3</v>
      </c>
      <c r="AN110" s="22">
        <v>5</v>
      </c>
      <c r="AO110" s="22">
        <v>3</v>
      </c>
      <c r="AP110" s="21">
        <f>(AI110*$AI$2)+(AJ110*$AJ$2)+(AK110*$AK$2)+(AL110*$AL$2)+(AM110*$AM$2)+(AN110*$AN$2)+(AO110*$AO$2)</f>
        <v>435</v>
      </c>
      <c r="AQ110" s="23">
        <f>AP110+AH110</f>
        <v>795</v>
      </c>
      <c r="AR110" s="132" t="s">
        <v>522</v>
      </c>
      <c r="AS110" s="88" t="s">
        <v>521</v>
      </c>
      <c r="AT110" s="134" t="s">
        <v>520</v>
      </c>
      <c r="AU110" s="17"/>
      <c r="AV110" s="23" t="s">
        <v>374</v>
      </c>
      <c r="AW110" s="17"/>
      <c r="AX110" s="17"/>
      <c r="AY110" s="17"/>
      <c r="AZ110" s="17"/>
      <c r="BA110" s="17"/>
      <c r="BB110" s="17"/>
      <c r="BC110" s="17"/>
      <c r="BD110" s="52">
        <f>SUM(AX110:BC110)</f>
        <v>0</v>
      </c>
      <c r="BE110" s="17"/>
      <c r="BF110" s="17"/>
      <c r="BG110" s="16" t="s">
        <v>192</v>
      </c>
      <c r="BH110" s="106" t="s">
        <v>519</v>
      </c>
      <c r="BI110" s="109"/>
      <c r="BJ110" s="109"/>
    </row>
    <row r="111" spans="1:173" ht="23" customHeight="1">
      <c r="A111" s="21"/>
      <c r="B111" s="21">
        <v>1</v>
      </c>
      <c r="C111" s="21"/>
      <c r="D111" s="21"/>
      <c r="E111" s="69" t="s">
        <v>518</v>
      </c>
      <c r="F111" s="69" t="s">
        <v>517</v>
      </c>
      <c r="G111" s="69"/>
      <c r="H111" s="29">
        <v>45707</v>
      </c>
      <c r="I111" s="29">
        <v>45707</v>
      </c>
      <c r="J111" s="29">
        <v>45992</v>
      </c>
      <c r="K111" s="17">
        <f ca="1">TODAY()-I111</f>
        <v>299</v>
      </c>
      <c r="L111" s="47" t="s">
        <v>14</v>
      </c>
      <c r="M111" s="160" t="s">
        <v>196</v>
      </c>
      <c r="N111" s="160" t="s">
        <v>59</v>
      </c>
      <c r="O111" s="23" t="s">
        <v>50</v>
      </c>
      <c r="P111" s="23" t="s">
        <v>33</v>
      </c>
      <c r="Q111" s="23" t="s">
        <v>267</v>
      </c>
      <c r="R111" s="23" t="s">
        <v>107</v>
      </c>
      <c r="S111" s="23" t="s">
        <v>10</v>
      </c>
      <c r="T111" s="23" t="s">
        <v>516</v>
      </c>
      <c r="U111" s="23" t="s">
        <v>490</v>
      </c>
      <c r="V111" s="23" t="s">
        <v>7</v>
      </c>
      <c r="W111" s="160" t="s">
        <v>264</v>
      </c>
      <c r="X111" s="21" t="s">
        <v>5</v>
      </c>
      <c r="Y111" s="160" t="s">
        <v>4</v>
      </c>
      <c r="Z111" s="22" t="s">
        <v>3</v>
      </c>
      <c r="AA111" s="160">
        <v>5</v>
      </c>
      <c r="AB111" s="160">
        <v>5</v>
      </c>
      <c r="AC111" s="160">
        <v>3</v>
      </c>
      <c r="AD111" s="160">
        <v>5</v>
      </c>
      <c r="AE111" s="160">
        <v>1</v>
      </c>
      <c r="AF111" s="160">
        <v>3</v>
      </c>
      <c r="AG111" s="160">
        <v>3</v>
      </c>
      <c r="AH111" s="22">
        <f>(AA111*$AA$2)+(AB111*$AB$2)+(AC111*$AC$2)+(AD111*$AD$2)+(AE111*$AE$2)+(AF111*$AF$2)+(AG111*$AG$2)</f>
        <v>375</v>
      </c>
      <c r="AI111" s="160">
        <v>5</v>
      </c>
      <c r="AJ111" s="160">
        <v>5</v>
      </c>
      <c r="AK111" s="160">
        <v>4</v>
      </c>
      <c r="AL111" s="160">
        <v>5</v>
      </c>
      <c r="AM111" s="160">
        <v>5</v>
      </c>
      <c r="AN111" s="160">
        <v>5</v>
      </c>
      <c r="AO111" s="160">
        <v>5</v>
      </c>
      <c r="AP111" s="7">
        <f>(AI111*$AI$2)+(AJ111*$AJ$2)+(AK111*$AK$2)+(AL111*$AL$2)+(AM111*$AM$2)+(AN111*$AN$2)+(AO111*$AO$2)</f>
        <v>510</v>
      </c>
      <c r="AQ111" s="159">
        <f>AP111+AH111</f>
        <v>885</v>
      </c>
      <c r="AR111" s="66" t="s">
        <v>515</v>
      </c>
      <c r="AS111" s="80" t="s">
        <v>514</v>
      </c>
      <c r="AT111" s="23"/>
      <c r="AU111" s="158"/>
      <c r="AV111" s="23" t="s">
        <v>54</v>
      </c>
      <c r="AW111" s="23"/>
      <c r="AX111" s="23"/>
      <c r="AY111" s="23"/>
      <c r="AZ111" s="23"/>
      <c r="BA111" s="23"/>
      <c r="BB111" s="23"/>
      <c r="BC111" s="23"/>
      <c r="BD111" s="52">
        <f>SUM(AX111:BC111)</f>
        <v>0</v>
      </c>
      <c r="BE111" s="158"/>
      <c r="BF111" s="157"/>
      <c r="BG111" s="16" t="s">
        <v>192</v>
      </c>
      <c r="BH111" s="48"/>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row>
    <row r="112" spans="1:173" ht="51.5" customHeight="1">
      <c r="A112" s="21"/>
      <c r="B112" s="21">
        <v>6</v>
      </c>
      <c r="C112" s="21"/>
      <c r="D112" s="21"/>
      <c r="E112" s="69" t="s">
        <v>513</v>
      </c>
      <c r="F112" s="69" t="s">
        <v>512</v>
      </c>
      <c r="G112" s="69" t="s">
        <v>511</v>
      </c>
      <c r="H112" s="29">
        <v>45717</v>
      </c>
      <c r="I112" s="73">
        <v>45729</v>
      </c>
      <c r="J112" s="73">
        <v>46082</v>
      </c>
      <c r="K112" s="17">
        <f ca="1">TODAY()-I112</f>
        <v>277</v>
      </c>
      <c r="L112" s="47" t="s">
        <v>389</v>
      </c>
      <c r="M112" s="67" t="s">
        <v>60</v>
      </c>
      <c r="N112" s="25"/>
      <c r="O112" s="23" t="s">
        <v>13</v>
      </c>
      <c r="P112" s="23" t="s">
        <v>33</v>
      </c>
      <c r="Q112" s="23" t="s">
        <v>510</v>
      </c>
      <c r="R112" s="23"/>
      <c r="S112" s="23" t="s">
        <v>109</v>
      </c>
      <c r="T112" s="23" t="s">
        <v>509</v>
      </c>
      <c r="U112" s="23" t="s">
        <v>508</v>
      </c>
      <c r="V112" s="23" t="s">
        <v>99</v>
      </c>
      <c r="W112" s="23"/>
      <c r="X112" s="21" t="s">
        <v>5</v>
      </c>
      <c r="Y112" s="21" t="s">
        <v>42</v>
      </c>
      <c r="Z112" s="23" t="s">
        <v>147</v>
      </c>
      <c r="AA112" s="22">
        <v>3</v>
      </c>
      <c r="AB112" s="22">
        <v>5</v>
      </c>
      <c r="AC112" s="22">
        <v>1</v>
      </c>
      <c r="AD112" s="22">
        <v>5</v>
      </c>
      <c r="AE112" s="22">
        <v>1</v>
      </c>
      <c r="AF112" s="22">
        <v>1</v>
      </c>
      <c r="AG112" s="22">
        <v>3</v>
      </c>
      <c r="AH112" s="22">
        <f>(AA112*$AA$2)+(AB112*$AB$2)+(AC112*$AC$2)+(AD112*$AD$2)+(AE112*$AE$2)+(AF112*$AF$2)+(AG112*$AG$2)</f>
        <v>285</v>
      </c>
      <c r="AI112" s="22">
        <v>5</v>
      </c>
      <c r="AJ112" s="22">
        <v>5</v>
      </c>
      <c r="AK112" s="22">
        <v>5</v>
      </c>
      <c r="AL112" s="22">
        <v>5</v>
      </c>
      <c r="AM112" s="22">
        <v>5</v>
      </c>
      <c r="AN112" s="22">
        <v>5</v>
      </c>
      <c r="AO112" s="22">
        <v>5</v>
      </c>
      <c r="AP112" s="21">
        <f>(AI112*$AI$2)+(AJ112*$AJ$2)+(AK112*$AK$2)+(AL112*$AL$2)+(AM112*$AM$2)+(AN112*$AN$2)+(AO112*$AO$2)</f>
        <v>525</v>
      </c>
      <c r="AQ112" s="21">
        <f>AP112+AH112</f>
        <v>810</v>
      </c>
      <c r="AR112" s="106" t="s">
        <v>507</v>
      </c>
      <c r="AS112" s="20" t="s">
        <v>506</v>
      </c>
      <c r="AT112" s="18"/>
      <c r="AU112" s="21"/>
      <c r="AV112" s="23" t="s">
        <v>258</v>
      </c>
      <c r="AW112" s="23"/>
      <c r="AX112" s="23"/>
      <c r="AY112" s="23"/>
      <c r="AZ112" s="23"/>
      <c r="BA112" s="23"/>
      <c r="BB112" s="23"/>
      <c r="BC112" s="23"/>
      <c r="BD112" s="52">
        <f>SUM(AX112:BC112)</f>
        <v>0</v>
      </c>
      <c r="BE112" s="23"/>
      <c r="BF112" s="23"/>
      <c r="BG112" s="16" t="s">
        <v>475</v>
      </c>
      <c r="BH112" s="48"/>
      <c r="BI112" s="50"/>
      <c r="BJ112" s="50"/>
    </row>
    <row r="113" spans="1:173" s="111" customFormat="1" ht="63.5" customHeight="1">
      <c r="A113" s="21"/>
      <c r="B113" s="21">
        <v>10</v>
      </c>
      <c r="C113" s="7"/>
      <c r="D113" s="21">
        <v>30600</v>
      </c>
      <c r="E113" s="69" t="s">
        <v>505</v>
      </c>
      <c r="F113" s="69" t="s">
        <v>504</v>
      </c>
      <c r="G113" s="69" t="s">
        <v>503</v>
      </c>
      <c r="H113" s="29" t="s">
        <v>502</v>
      </c>
      <c r="I113" s="73">
        <v>45746</v>
      </c>
      <c r="J113" s="156">
        <v>45992</v>
      </c>
      <c r="K113" s="103">
        <f ca="1">TODAY()-I113</f>
        <v>260</v>
      </c>
      <c r="L113" s="47" t="s">
        <v>496</v>
      </c>
      <c r="M113" s="67" t="s">
        <v>38</v>
      </c>
      <c r="N113" s="25" t="s">
        <v>59</v>
      </c>
      <c r="O113" s="23" t="s">
        <v>69</v>
      </c>
      <c r="P113" s="23" t="s">
        <v>33</v>
      </c>
      <c r="Q113" s="16" t="s">
        <v>57</v>
      </c>
      <c r="R113" s="23" t="s">
        <v>8</v>
      </c>
      <c r="S113" s="23" t="s">
        <v>210</v>
      </c>
      <c r="T113" s="23" t="s">
        <v>501</v>
      </c>
      <c r="U113" s="23" t="s">
        <v>500</v>
      </c>
      <c r="V113" s="23" t="s">
        <v>184</v>
      </c>
      <c r="W113" s="22" t="s">
        <v>27</v>
      </c>
      <c r="X113" s="21" t="s">
        <v>5</v>
      </c>
      <c r="Y113" s="21" t="s">
        <v>4</v>
      </c>
      <c r="Z113" s="22" t="s">
        <v>3</v>
      </c>
      <c r="AA113" s="21">
        <v>3</v>
      </c>
      <c r="AB113" s="21">
        <v>5</v>
      </c>
      <c r="AC113" s="21">
        <v>3</v>
      </c>
      <c r="AD113" s="21">
        <v>5</v>
      </c>
      <c r="AE113" s="21">
        <v>1</v>
      </c>
      <c r="AF113" s="21">
        <v>3</v>
      </c>
      <c r="AG113" s="21">
        <v>3</v>
      </c>
      <c r="AH113" s="22">
        <f>(AA113*$AA$2)+(AB113*$AB$2)+(AC113*$AC$2)+(AD113*$AD$2)+(AE113*$AE$2)+(AF113*$AF$2)+(AG113*$AG$2)</f>
        <v>345</v>
      </c>
      <c r="AI113" s="21">
        <v>5</v>
      </c>
      <c r="AJ113" s="21">
        <v>5</v>
      </c>
      <c r="AK113" s="21">
        <v>3</v>
      </c>
      <c r="AL113" s="21">
        <v>3</v>
      </c>
      <c r="AM113" s="21">
        <v>5</v>
      </c>
      <c r="AN113" s="21">
        <v>3</v>
      </c>
      <c r="AO113" s="21">
        <v>5</v>
      </c>
      <c r="AP113" s="21">
        <f>(AI113*$AI$2)+(AJ113*$AJ$2)+(AK113*$AK$2)+(AL113*$AL$2)+(AM113*$AM$2)+(AN113*$AN$2)+(AO113*$AO$2)</f>
        <v>435</v>
      </c>
      <c r="AQ113" s="21">
        <f>AP113+AH113</f>
        <v>780</v>
      </c>
      <c r="AR113" s="88" t="s">
        <v>499</v>
      </c>
      <c r="AS113" s="80"/>
      <c r="AT113" s="21"/>
      <c r="AU113" s="21"/>
      <c r="AV113" s="23" t="s">
        <v>374</v>
      </c>
      <c r="AW113" s="21"/>
      <c r="AX113" s="21"/>
      <c r="AY113" s="21"/>
      <c r="AZ113" s="21"/>
      <c r="BA113" s="21"/>
      <c r="BB113" s="21"/>
      <c r="BC113" s="21"/>
      <c r="BD113" s="52">
        <f>SUM(AX113:BC113)</f>
        <v>0</v>
      </c>
      <c r="BE113" s="21"/>
      <c r="BF113" s="155"/>
      <c r="BG113" s="16" t="s">
        <v>192</v>
      </c>
      <c r="BH113" s="51"/>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row>
    <row r="114" spans="1:173" ht="35" customHeight="1">
      <c r="A114" s="21"/>
      <c r="B114" s="21">
        <v>26</v>
      </c>
      <c r="C114" s="21"/>
      <c r="D114" s="21"/>
      <c r="E114" s="69" t="s">
        <v>498</v>
      </c>
      <c r="F114" s="69" t="s">
        <v>497</v>
      </c>
      <c r="G114" s="69"/>
      <c r="H114" s="99">
        <v>45762</v>
      </c>
      <c r="I114" s="73">
        <v>45762</v>
      </c>
      <c r="J114" s="73">
        <v>45992</v>
      </c>
      <c r="K114" s="103">
        <f ca="1">TODAY()-I114</f>
        <v>244</v>
      </c>
      <c r="L114" s="154" t="s">
        <v>496</v>
      </c>
      <c r="M114" s="16" t="s">
        <v>196</v>
      </c>
      <c r="N114" s="25" t="s">
        <v>59</v>
      </c>
      <c r="O114" s="23" t="s">
        <v>50</v>
      </c>
      <c r="P114" s="23" t="s">
        <v>33</v>
      </c>
      <c r="Q114" s="16" t="s">
        <v>57</v>
      </c>
      <c r="R114" s="23" t="s">
        <v>19</v>
      </c>
      <c r="S114" s="23" t="s">
        <v>363</v>
      </c>
      <c r="T114" s="23" t="s">
        <v>363</v>
      </c>
      <c r="U114" s="23" t="s">
        <v>8</v>
      </c>
      <c r="V114" s="23" t="s">
        <v>56</v>
      </c>
      <c r="W114" s="23" t="s">
        <v>6</v>
      </c>
      <c r="X114" s="21" t="s">
        <v>5</v>
      </c>
      <c r="Y114" s="21" t="s">
        <v>42</v>
      </c>
      <c r="Z114" s="88" t="s">
        <v>3</v>
      </c>
      <c r="AA114" s="21">
        <v>5</v>
      </c>
      <c r="AB114" s="21">
        <v>5</v>
      </c>
      <c r="AC114" s="21">
        <v>4</v>
      </c>
      <c r="AD114" s="21">
        <v>5</v>
      </c>
      <c r="AE114" s="21">
        <v>1</v>
      </c>
      <c r="AF114" s="21">
        <v>3</v>
      </c>
      <c r="AG114" s="21">
        <v>5</v>
      </c>
      <c r="AH114" s="22">
        <f>(AA114*$AA$2)+(AB114*$AB$2)+(AC114*$AC$2)+(AD114*$AD$2)+(AE114*$AE$2)+(AF114*$AF$2)+(AG114*$AG$2)</f>
        <v>420</v>
      </c>
      <c r="AI114" s="21">
        <v>3</v>
      </c>
      <c r="AJ114" s="21">
        <v>3</v>
      </c>
      <c r="AK114" s="21">
        <v>2</v>
      </c>
      <c r="AL114" s="21">
        <v>3</v>
      </c>
      <c r="AM114" s="21">
        <v>1</v>
      </c>
      <c r="AN114" s="21">
        <v>3</v>
      </c>
      <c r="AO114" s="21">
        <v>3</v>
      </c>
      <c r="AP114" s="21">
        <f>(AI114*$AI$2)+(AJ114*$AJ$2)+(AK114*$AK$2)+(AL114*$AL$2)+(AM114*$AM$2)+(AN114*$AN$2)+(AO114*$AO$2)</f>
        <v>270</v>
      </c>
      <c r="AQ114" s="21">
        <f>AP114+AH114</f>
        <v>690</v>
      </c>
      <c r="AR114" s="80" t="s">
        <v>495</v>
      </c>
      <c r="AS114" s="80" t="s">
        <v>494</v>
      </c>
      <c r="AT114" s="18"/>
      <c r="AU114" s="17"/>
      <c r="AV114" s="23" t="s">
        <v>54</v>
      </c>
      <c r="AW114" s="17"/>
      <c r="AX114" s="17"/>
      <c r="AY114" s="17"/>
      <c r="AZ114" s="17"/>
      <c r="BA114" s="17"/>
      <c r="BB114" s="17"/>
      <c r="BC114" s="17"/>
      <c r="BD114" s="52">
        <f>SUM(AX114:BC114)</f>
        <v>0</v>
      </c>
      <c r="BE114" s="17"/>
      <c r="BF114" s="17"/>
      <c r="BG114" s="16" t="s">
        <v>192</v>
      </c>
      <c r="BH114" s="51"/>
    </row>
    <row r="115" spans="1:173" s="50" customFormat="1" ht="54.5" customHeight="1">
      <c r="A115" s="21"/>
      <c r="B115" s="21">
        <v>3</v>
      </c>
      <c r="C115" s="16"/>
      <c r="D115" s="21"/>
      <c r="E115" s="69" t="s">
        <v>493</v>
      </c>
      <c r="F115" s="69" t="s">
        <v>492</v>
      </c>
      <c r="G115" s="69" t="s">
        <v>491</v>
      </c>
      <c r="H115" s="29">
        <v>45800</v>
      </c>
      <c r="I115" s="73">
        <v>45804</v>
      </c>
      <c r="J115" s="73" t="s">
        <v>107</v>
      </c>
      <c r="K115" s="17">
        <f ca="1">TODAY()-I115</f>
        <v>202</v>
      </c>
      <c r="L115" s="72" t="s">
        <v>14</v>
      </c>
      <c r="M115" s="16" t="s">
        <v>6</v>
      </c>
      <c r="N115" s="25" t="s">
        <v>59</v>
      </c>
      <c r="O115" s="23" t="s">
        <v>50</v>
      </c>
      <c r="P115" s="23" t="s">
        <v>33</v>
      </c>
      <c r="Q115" s="16" t="s">
        <v>129</v>
      </c>
      <c r="R115" s="23"/>
      <c r="S115" s="23" t="s">
        <v>10</v>
      </c>
      <c r="T115" s="23" t="s">
        <v>168</v>
      </c>
      <c r="U115" s="23" t="s">
        <v>490</v>
      </c>
      <c r="V115" s="23" t="s">
        <v>56</v>
      </c>
      <c r="W115" s="23" t="s">
        <v>6</v>
      </c>
      <c r="X115" s="21" t="s">
        <v>5</v>
      </c>
      <c r="Y115" s="21" t="s">
        <v>4</v>
      </c>
      <c r="Z115" s="88" t="s">
        <v>3</v>
      </c>
      <c r="AA115" s="21">
        <v>5</v>
      </c>
      <c r="AB115" s="21">
        <v>5</v>
      </c>
      <c r="AC115" s="21">
        <v>5</v>
      </c>
      <c r="AD115" s="21">
        <v>5</v>
      </c>
      <c r="AE115" s="21">
        <v>3</v>
      </c>
      <c r="AF115" s="21">
        <v>3</v>
      </c>
      <c r="AG115" s="21">
        <v>5</v>
      </c>
      <c r="AH115" s="22">
        <f>(AA115*$AA$2)+(AB115*$AB$2)+(AC115*$AC$2)+(AD115*$AD$2)+(AE115*$AE$2)+(AF115*$AF$2)+(AG115*$AG$2)</f>
        <v>465</v>
      </c>
      <c r="AI115" s="21">
        <v>5</v>
      </c>
      <c r="AJ115" s="21">
        <v>5</v>
      </c>
      <c r="AK115" s="21">
        <v>3</v>
      </c>
      <c r="AL115" s="21">
        <v>3</v>
      </c>
      <c r="AM115" s="21">
        <v>5</v>
      </c>
      <c r="AN115" s="21">
        <v>3</v>
      </c>
      <c r="AO115" s="21">
        <v>3</v>
      </c>
      <c r="AP115" s="21">
        <f>(AI115*$AI$2)+(AJ115*$AJ$2)+(AK115*$AK$2)+(AL115*$AL$2)+(AM115*$AM$2)+(AN115*$AN$2)+(AO115*$AO$2)</f>
        <v>405</v>
      </c>
      <c r="AQ115" s="21">
        <f>AP115+AH115</f>
        <v>870</v>
      </c>
      <c r="AR115" s="80" t="s">
        <v>489</v>
      </c>
      <c r="AS115" s="153" t="s">
        <v>488</v>
      </c>
      <c r="AT115" s="17" t="s">
        <v>487</v>
      </c>
      <c r="AU115" s="17"/>
      <c r="AV115" s="21" t="s">
        <v>54</v>
      </c>
      <c r="AW115" s="17"/>
      <c r="AX115" s="17"/>
      <c r="AY115" s="17"/>
      <c r="AZ115" s="17"/>
      <c r="BA115" s="17"/>
      <c r="BB115" s="17"/>
      <c r="BC115" s="17"/>
      <c r="BD115" s="52">
        <f>SUM(AX115:BC115)</f>
        <v>0</v>
      </c>
      <c r="BE115" s="17"/>
      <c r="BF115" s="33"/>
      <c r="BG115" s="16" t="s">
        <v>475</v>
      </c>
      <c r="BH115" s="51"/>
    </row>
    <row r="116" spans="1:173" s="101" customFormat="1" ht="91">
      <c r="A116" s="21"/>
      <c r="B116" s="21">
        <v>8</v>
      </c>
      <c r="C116" s="21"/>
      <c r="D116" s="21"/>
      <c r="E116" s="69" t="s">
        <v>486</v>
      </c>
      <c r="F116" s="69" t="s">
        <v>485</v>
      </c>
      <c r="G116" s="69"/>
      <c r="H116" s="29" t="s">
        <v>107</v>
      </c>
      <c r="I116" s="73">
        <v>45809</v>
      </c>
      <c r="J116" s="73">
        <v>45945</v>
      </c>
      <c r="K116" s="54">
        <f>J116-I116</f>
        <v>136</v>
      </c>
      <c r="L116" s="47" t="s">
        <v>14</v>
      </c>
      <c r="M116" s="67" t="s">
        <v>60</v>
      </c>
      <c r="N116" s="25"/>
      <c r="O116" s="23" t="s">
        <v>50</v>
      </c>
      <c r="P116" s="23" t="s">
        <v>58</v>
      </c>
      <c r="Q116" s="23" t="s">
        <v>148</v>
      </c>
      <c r="R116" s="23"/>
      <c r="S116" s="23" t="s">
        <v>484</v>
      </c>
      <c r="T116" s="23" t="s">
        <v>483</v>
      </c>
      <c r="U116" s="23" t="s">
        <v>482</v>
      </c>
      <c r="V116" s="23" t="s">
        <v>99</v>
      </c>
      <c r="W116" s="143" t="s">
        <v>481</v>
      </c>
      <c r="X116" s="21" t="s">
        <v>5</v>
      </c>
      <c r="Y116" s="21" t="s">
        <v>126</v>
      </c>
      <c r="Z116" s="23" t="s">
        <v>147</v>
      </c>
      <c r="AA116" s="21">
        <v>5</v>
      </c>
      <c r="AB116" s="21">
        <v>5</v>
      </c>
      <c r="AC116" s="21">
        <v>3</v>
      </c>
      <c r="AD116" s="21">
        <v>5</v>
      </c>
      <c r="AE116" s="21">
        <v>5</v>
      </c>
      <c r="AF116" s="21">
        <v>1</v>
      </c>
      <c r="AG116" s="21">
        <v>3</v>
      </c>
      <c r="AH116" s="22">
        <f>(AA116*$AA$2)+(AB116*$AB$2)+(AC116*$AC$2)+(AD116*$AD$2)+(AE116*$AE$2)+(AF116*$AF$2)+(AG116*$AG$2)</f>
        <v>405</v>
      </c>
      <c r="AI116" s="21">
        <v>5</v>
      </c>
      <c r="AJ116" s="21">
        <v>5</v>
      </c>
      <c r="AK116" s="21">
        <v>2</v>
      </c>
      <c r="AL116" s="21">
        <v>5</v>
      </c>
      <c r="AM116" s="21">
        <v>3</v>
      </c>
      <c r="AN116" s="21">
        <v>3</v>
      </c>
      <c r="AO116" s="21">
        <v>3</v>
      </c>
      <c r="AP116" s="21">
        <f>(AI116*$AI$2)+(AJ116*$AJ$2)+(AK116*$AK$2)+(AL116*$AL$2)+(AM116*$AM$2)+(AN116*$AN$2)+(AO116*$AO$2)</f>
        <v>390</v>
      </c>
      <c r="AQ116" s="21">
        <f>AP116+AH116</f>
        <v>795</v>
      </c>
      <c r="AR116" s="20" t="s">
        <v>480</v>
      </c>
      <c r="AS116" s="20"/>
      <c r="AT116" s="18">
        <v>150000</v>
      </c>
      <c r="AU116" s="18"/>
      <c r="AV116" s="102" t="s">
        <v>54</v>
      </c>
      <c r="AW116" s="17"/>
      <c r="AX116" s="17"/>
      <c r="AY116" s="17"/>
      <c r="AZ116" s="17"/>
      <c r="BA116" s="17"/>
      <c r="BB116" s="17"/>
      <c r="BC116" s="17"/>
      <c r="BD116" s="52">
        <f>SUM(AX116:BC116)</f>
        <v>0</v>
      </c>
      <c r="BE116" s="148">
        <v>45931</v>
      </c>
      <c r="BF116" s="17"/>
      <c r="BG116" s="125" t="s">
        <v>58</v>
      </c>
      <c r="BH116" s="48"/>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c r="DB116" s="50"/>
      <c r="DC116" s="50"/>
      <c r="DD116" s="50"/>
      <c r="DE116" s="50"/>
      <c r="DF116" s="50"/>
      <c r="DG116" s="50"/>
      <c r="DH116" s="50"/>
      <c r="DI116" s="50"/>
      <c r="DJ116" s="50"/>
      <c r="DK116" s="50"/>
      <c r="DL116" s="50"/>
      <c r="DM116" s="50"/>
      <c r="DN116" s="50"/>
      <c r="DO116" s="50"/>
      <c r="DP116" s="50"/>
      <c r="DQ116" s="50"/>
      <c r="DR116" s="50"/>
      <c r="DS116" s="50"/>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S116" s="50"/>
      <c r="ET116" s="50"/>
      <c r="EU116" s="50"/>
      <c r="EV116" s="50"/>
      <c r="EW116" s="50"/>
      <c r="EX116" s="50"/>
      <c r="EY116" s="50"/>
      <c r="EZ116" s="50"/>
      <c r="FA116" s="50"/>
      <c r="FB116" s="50"/>
      <c r="FC116" s="50"/>
      <c r="FD116" s="50"/>
      <c r="FE116" s="50"/>
      <c r="FF116" s="50"/>
      <c r="FG116" s="50"/>
      <c r="FH116" s="50"/>
      <c r="FI116" s="50"/>
      <c r="FJ116" s="50"/>
      <c r="FK116" s="50"/>
      <c r="FL116" s="50"/>
      <c r="FM116" s="50"/>
      <c r="FN116" s="50"/>
      <c r="FO116" s="50"/>
      <c r="FP116" s="50"/>
      <c r="FQ116" s="59"/>
    </row>
    <row r="117" spans="1:173" s="101" customFormat="1" ht="50" customHeight="1">
      <c r="A117" s="21"/>
      <c r="B117" s="21">
        <v>86</v>
      </c>
      <c r="C117" s="97"/>
      <c r="D117" s="21"/>
      <c r="E117" s="69" t="s">
        <v>479</v>
      </c>
      <c r="F117" s="69" t="s">
        <v>478</v>
      </c>
      <c r="G117" s="69"/>
      <c r="H117" s="29" t="s">
        <v>107</v>
      </c>
      <c r="I117" s="73">
        <v>45641</v>
      </c>
      <c r="J117" s="73"/>
      <c r="K117" s="54"/>
      <c r="L117" s="47" t="s">
        <v>70</v>
      </c>
      <c r="M117" s="67" t="s">
        <v>6</v>
      </c>
      <c r="N117" s="25"/>
      <c r="O117" s="23" t="s">
        <v>13</v>
      </c>
      <c r="P117" s="23" t="s">
        <v>68</v>
      </c>
      <c r="Q117" s="23" t="s">
        <v>11</v>
      </c>
      <c r="R117" s="23"/>
      <c r="S117" s="23" t="s">
        <v>92</v>
      </c>
      <c r="T117" s="23" t="s">
        <v>92</v>
      </c>
      <c r="U117" s="23" t="s">
        <v>107</v>
      </c>
      <c r="V117" s="23" t="s">
        <v>163</v>
      </c>
      <c r="W117" s="23"/>
      <c r="X117" s="21" t="s">
        <v>5</v>
      </c>
      <c r="Y117" s="21" t="s">
        <v>42</v>
      </c>
      <c r="Z117" s="23" t="s">
        <v>3</v>
      </c>
      <c r="AA117" s="21">
        <v>3</v>
      </c>
      <c r="AB117" s="21">
        <v>5</v>
      </c>
      <c r="AC117" s="21">
        <v>2</v>
      </c>
      <c r="AD117" s="21">
        <v>5</v>
      </c>
      <c r="AE117" s="21">
        <v>0</v>
      </c>
      <c r="AF117" s="21">
        <v>3</v>
      </c>
      <c r="AG117" s="21">
        <v>3</v>
      </c>
      <c r="AH117" s="22">
        <f>(AA117*$AA$2)+(AB117*$AB$2)+(AC117*$AC$2)+(AD117*$AD$2)+(AE117*$AE$2)+(AF117*$AF$2)+(AG117*$AG$2)</f>
        <v>315</v>
      </c>
      <c r="AI117" s="21">
        <v>5</v>
      </c>
      <c r="AJ117" s="21">
        <v>5</v>
      </c>
      <c r="AK117" s="21">
        <v>2</v>
      </c>
      <c r="AL117" s="21">
        <v>5</v>
      </c>
      <c r="AM117" s="21">
        <v>3</v>
      </c>
      <c r="AN117" s="21">
        <v>3</v>
      </c>
      <c r="AO117" s="21">
        <v>3</v>
      </c>
      <c r="AP117" s="21">
        <f>(AI117*$AI$2)+(AJ117*$AJ$2)+(AK117*$AK$2)+(AL117*$AL$2)+(AM117*$AM$2)+(AN117*$AN$2)+(AO117*$AO$2)</f>
        <v>390</v>
      </c>
      <c r="AQ117" s="21">
        <f>AP117+AH117</f>
        <v>705</v>
      </c>
      <c r="AR117" s="20" t="s">
        <v>477</v>
      </c>
      <c r="AS117" s="152" t="s">
        <v>476</v>
      </c>
      <c r="AT117" s="18"/>
      <c r="AU117" s="17"/>
      <c r="AV117" s="17"/>
      <c r="AW117" s="17"/>
      <c r="AX117" s="17"/>
      <c r="AY117" s="17"/>
      <c r="AZ117" s="17"/>
      <c r="BA117" s="17"/>
      <c r="BB117" s="17"/>
      <c r="BC117" s="17"/>
      <c r="BD117" s="52">
        <f>SUM(AX117:BC117)</f>
        <v>0</v>
      </c>
      <c r="BE117" s="17"/>
      <c r="BF117" s="17"/>
      <c r="BG117" s="16" t="s">
        <v>475</v>
      </c>
      <c r="BH117" s="48"/>
      <c r="BI117" s="108"/>
      <c r="BJ117" s="108"/>
      <c r="BK117" s="108"/>
      <c r="BL117" s="108"/>
      <c r="BM117" s="108"/>
      <c r="BN117" s="108"/>
      <c r="BO117" s="108"/>
      <c r="BP117" s="108"/>
      <c r="BQ117" s="108"/>
      <c r="BR117" s="108"/>
      <c r="BS117" s="108"/>
      <c r="BT117" s="108"/>
      <c r="BU117" s="108"/>
      <c r="BV117" s="108"/>
      <c r="BW117" s="108"/>
      <c r="BX117" s="108"/>
      <c r="BY117" s="108"/>
      <c r="BZ117" s="108"/>
      <c r="CA117" s="108"/>
      <c r="CB117" s="108"/>
      <c r="CC117" s="108"/>
      <c r="CD117" s="108"/>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c r="DD117" s="108"/>
      <c r="DE117" s="108"/>
      <c r="DF117" s="108"/>
      <c r="DG117" s="108"/>
      <c r="DH117" s="108"/>
      <c r="DI117" s="108"/>
      <c r="DJ117" s="108"/>
      <c r="DK117" s="108"/>
      <c r="DL117" s="108"/>
      <c r="DM117" s="108"/>
      <c r="DN117" s="108"/>
      <c r="DO117" s="108"/>
      <c r="DP117" s="108"/>
      <c r="DQ117" s="108"/>
      <c r="DR117" s="108"/>
      <c r="DS117" s="108"/>
      <c r="DT117" s="108"/>
      <c r="DU117" s="108"/>
      <c r="DV117" s="108"/>
      <c r="DW117" s="108"/>
      <c r="DX117" s="108"/>
      <c r="DY117" s="108"/>
      <c r="DZ117" s="108"/>
      <c r="EA117" s="108"/>
      <c r="EB117" s="108"/>
      <c r="EC117" s="108"/>
      <c r="ED117" s="108"/>
      <c r="EE117" s="108"/>
      <c r="EF117" s="108"/>
      <c r="EG117" s="108"/>
      <c r="EH117" s="108"/>
      <c r="EI117" s="108"/>
      <c r="EJ117" s="108"/>
      <c r="EK117" s="108"/>
      <c r="EL117" s="108"/>
      <c r="EM117" s="108"/>
      <c r="EN117" s="108"/>
      <c r="EO117" s="108"/>
      <c r="EP117" s="108"/>
      <c r="EQ117" s="108"/>
      <c r="ER117" s="108"/>
      <c r="ES117" s="108"/>
      <c r="ET117" s="108"/>
      <c r="EU117" s="108"/>
      <c r="EV117" s="108"/>
      <c r="EW117" s="108"/>
      <c r="EX117" s="108"/>
      <c r="EY117" s="108"/>
      <c r="EZ117" s="108"/>
      <c r="FA117" s="108"/>
      <c r="FB117" s="108"/>
      <c r="FC117" s="108"/>
      <c r="FD117" s="108"/>
      <c r="FE117" s="108"/>
      <c r="FF117" s="108"/>
      <c r="FG117" s="108"/>
      <c r="FH117" s="108"/>
      <c r="FI117" s="108"/>
      <c r="FJ117" s="108"/>
      <c r="FK117" s="108"/>
      <c r="FL117" s="108"/>
      <c r="FM117" s="108"/>
      <c r="FN117" s="108"/>
      <c r="FO117" s="108"/>
      <c r="FP117" s="108"/>
      <c r="FQ117" s="151"/>
    </row>
    <row r="118" spans="1:173" s="101" customFormat="1" ht="57.5" customHeight="1">
      <c r="A118" s="21"/>
      <c r="B118" s="21">
        <v>7</v>
      </c>
      <c r="C118" s="16"/>
      <c r="D118" s="21"/>
      <c r="E118" s="69" t="s">
        <v>474</v>
      </c>
      <c r="F118" s="69" t="s">
        <v>473</v>
      </c>
      <c r="G118" s="69"/>
      <c r="H118" s="29">
        <v>45791</v>
      </c>
      <c r="I118" s="73">
        <v>45791</v>
      </c>
      <c r="J118" s="73">
        <v>45950</v>
      </c>
      <c r="K118" s="130">
        <f>J118-I118</f>
        <v>159</v>
      </c>
      <c r="L118" s="72" t="s">
        <v>14</v>
      </c>
      <c r="M118" s="105" t="s">
        <v>6</v>
      </c>
      <c r="N118" s="25" t="s">
        <v>59</v>
      </c>
      <c r="O118" s="23" t="s">
        <v>50</v>
      </c>
      <c r="P118" s="23" t="s">
        <v>58</v>
      </c>
      <c r="Q118" s="16" t="s">
        <v>129</v>
      </c>
      <c r="R118" s="23"/>
      <c r="S118" s="23" t="s">
        <v>306</v>
      </c>
      <c r="T118" s="23" t="s">
        <v>396</v>
      </c>
      <c r="U118" s="23" t="s">
        <v>472</v>
      </c>
      <c r="V118" s="23" t="s">
        <v>56</v>
      </c>
      <c r="W118" s="23" t="s">
        <v>340</v>
      </c>
      <c r="X118" s="21" t="s">
        <v>5</v>
      </c>
      <c r="Y118" s="21" t="s">
        <v>126</v>
      </c>
      <c r="Z118" s="88" t="s">
        <v>18</v>
      </c>
      <c r="AA118" s="21">
        <v>3</v>
      </c>
      <c r="AB118" s="21">
        <v>5</v>
      </c>
      <c r="AC118" s="21">
        <v>1</v>
      </c>
      <c r="AD118" s="21">
        <v>5</v>
      </c>
      <c r="AE118" s="21">
        <v>5</v>
      </c>
      <c r="AF118" s="21">
        <v>3</v>
      </c>
      <c r="AG118" s="21">
        <v>3</v>
      </c>
      <c r="AH118" s="22">
        <f>(AA118*$AA$2)+(AB118*$AB$2)+(AC118*$AC$2)+(AD118*$AD$2)+(AE118*$AE$2)+(AF118*$AF$2)+(AG118*$AG$2)</f>
        <v>375</v>
      </c>
      <c r="AI118" s="21">
        <v>5</v>
      </c>
      <c r="AJ118" s="21">
        <v>5</v>
      </c>
      <c r="AK118" s="21">
        <v>3</v>
      </c>
      <c r="AL118" s="21">
        <v>5</v>
      </c>
      <c r="AM118" s="21">
        <v>5</v>
      </c>
      <c r="AN118" s="21">
        <v>3</v>
      </c>
      <c r="AO118" s="21">
        <v>3</v>
      </c>
      <c r="AP118" s="21">
        <f>(AI118*$AI$2)+(AJ118*$AJ$2)+(AK118*$AK$2)+(AL118*$AL$2)+(AM118*$AM$2)+(AN118*$AN$2)+(AO118*$AO$2)</f>
        <v>435</v>
      </c>
      <c r="AQ118" s="21">
        <f>AP118+AH118</f>
        <v>810</v>
      </c>
      <c r="AR118" s="142" t="s">
        <v>471</v>
      </c>
      <c r="AS118" s="20" t="s">
        <v>470</v>
      </c>
      <c r="AT118" s="18" t="s">
        <v>469</v>
      </c>
      <c r="AU118" s="102"/>
      <c r="AV118" s="143" t="s">
        <v>453</v>
      </c>
      <c r="AW118" s="102"/>
      <c r="AX118" s="102"/>
      <c r="AY118" s="102"/>
      <c r="AZ118" s="102"/>
      <c r="BA118" s="102"/>
      <c r="BB118" s="102"/>
      <c r="BC118" s="102"/>
      <c r="BD118" s="52">
        <f>SUM(AX118:BC118)</f>
        <v>0</v>
      </c>
      <c r="BE118" s="102"/>
      <c r="BF118" s="102"/>
      <c r="BG118" s="125" t="s">
        <v>58</v>
      </c>
      <c r="BH118" s="48"/>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49"/>
    </row>
    <row r="119" spans="1:173" ht="39">
      <c r="A119" s="21"/>
      <c r="B119" s="21"/>
      <c r="C119" s="32"/>
      <c r="D119" s="21"/>
      <c r="E119" s="69" t="s">
        <v>468</v>
      </c>
      <c r="F119" s="69" t="s">
        <v>467</v>
      </c>
      <c r="G119" s="69" t="s">
        <v>466</v>
      </c>
      <c r="H119" s="29">
        <v>45979</v>
      </c>
      <c r="I119" s="29">
        <v>45962</v>
      </c>
      <c r="J119" s="29">
        <v>45986</v>
      </c>
      <c r="K119" s="54">
        <f>J119-I119</f>
        <v>24</v>
      </c>
      <c r="L119" s="47" t="s">
        <v>14</v>
      </c>
      <c r="M119" s="26" t="s">
        <v>38</v>
      </c>
      <c r="N119" s="25"/>
      <c r="O119" s="23" t="s">
        <v>13</v>
      </c>
      <c r="P119" s="23" t="s">
        <v>58</v>
      </c>
      <c r="Q119" s="23"/>
      <c r="R119" s="23" t="s">
        <v>163</v>
      </c>
      <c r="S119" s="23" t="s">
        <v>37</v>
      </c>
      <c r="T119" s="23" t="s">
        <v>37</v>
      </c>
      <c r="U119" s="23"/>
      <c r="V119" s="23" t="s">
        <v>28</v>
      </c>
      <c r="W119" s="23" t="s">
        <v>27</v>
      </c>
      <c r="X119" s="21" t="s">
        <v>5</v>
      </c>
      <c r="Y119" s="23" t="s">
        <v>126</v>
      </c>
      <c r="Z119" s="67" t="s">
        <v>18</v>
      </c>
      <c r="AA119" s="22">
        <v>5</v>
      </c>
      <c r="AB119" s="22">
        <v>5</v>
      </c>
      <c r="AC119" s="22">
        <v>3</v>
      </c>
      <c r="AD119" s="22">
        <v>5</v>
      </c>
      <c r="AE119" s="22">
        <v>3</v>
      </c>
      <c r="AF119" s="22">
        <v>3</v>
      </c>
      <c r="AG119" s="22">
        <v>3</v>
      </c>
      <c r="AH119" s="22">
        <f>(AA119*$AA$2)+(AB119*$AB$2)+(AC119*$AC$2)+(AD119*$AD$2)+(AE119*$AE$2)+(AF119*$AF$2)+(AG119*$AG$2)</f>
        <v>405</v>
      </c>
      <c r="AI119" s="22">
        <v>5</v>
      </c>
      <c r="AJ119" s="22">
        <v>5</v>
      </c>
      <c r="AK119" s="22">
        <v>3</v>
      </c>
      <c r="AL119" s="22">
        <v>5</v>
      </c>
      <c r="AM119" s="22">
        <v>5</v>
      </c>
      <c r="AN119" s="22">
        <v>5</v>
      </c>
      <c r="AO119" s="22">
        <v>5</v>
      </c>
      <c r="AP119" s="21">
        <f>(AI119*$AI$2)+(AJ119*$AJ$2)+(AK119*$AK$2)+(AL119*$AL$2)+(AM119*$AM$2)+(AN119*$AN$2)+(AO119*$AO$2)</f>
        <v>495</v>
      </c>
      <c r="AQ119" s="21">
        <f>AP119+AH119</f>
        <v>900</v>
      </c>
      <c r="AR119" s="20" t="s">
        <v>465</v>
      </c>
      <c r="AS119" s="20"/>
      <c r="AT119" s="18" t="s">
        <v>464</v>
      </c>
      <c r="AU119" s="17"/>
      <c r="AV119" s="17"/>
      <c r="AW119" s="17"/>
      <c r="AX119" s="17"/>
      <c r="AY119" s="17"/>
      <c r="AZ119" s="17"/>
      <c r="BA119" s="17"/>
      <c r="BB119" s="17"/>
      <c r="BC119" s="17"/>
      <c r="BD119" s="17"/>
      <c r="BE119" s="17"/>
      <c r="BF119" s="17"/>
      <c r="BG119" s="16" t="s">
        <v>53</v>
      </c>
      <c r="BH119" s="48"/>
    </row>
    <row r="120" spans="1:173" ht="78">
      <c r="A120" s="21"/>
      <c r="B120" s="21">
        <v>98</v>
      </c>
      <c r="C120" s="21"/>
      <c r="D120" s="100"/>
      <c r="E120" s="69" t="s">
        <v>463</v>
      </c>
      <c r="F120" s="69" t="s">
        <v>462</v>
      </c>
      <c r="G120" s="69" t="s">
        <v>461</v>
      </c>
      <c r="H120" s="29">
        <v>45833</v>
      </c>
      <c r="I120" s="73">
        <v>45833</v>
      </c>
      <c r="J120" s="73">
        <v>45852</v>
      </c>
      <c r="K120" s="54">
        <f>J120-I120</f>
        <v>19</v>
      </c>
      <c r="L120" s="72" t="s">
        <v>14</v>
      </c>
      <c r="M120" s="105" t="s">
        <v>38</v>
      </c>
      <c r="N120" s="25" t="s">
        <v>59</v>
      </c>
      <c r="O120" s="23" t="s">
        <v>32</v>
      </c>
      <c r="P120" s="23" t="s">
        <v>58</v>
      </c>
      <c r="Q120" s="16" t="s">
        <v>57</v>
      </c>
      <c r="R120" s="23" t="s">
        <v>170</v>
      </c>
      <c r="S120" s="23" t="s">
        <v>460</v>
      </c>
      <c r="T120" s="23" t="s">
        <v>460</v>
      </c>
      <c r="U120" s="23" t="s">
        <v>8</v>
      </c>
      <c r="V120" s="23" t="s">
        <v>66</v>
      </c>
      <c r="W120" s="23" t="s">
        <v>340</v>
      </c>
      <c r="X120" s="21" t="s">
        <v>5</v>
      </c>
      <c r="Y120" s="21" t="s">
        <v>4</v>
      </c>
      <c r="Z120" s="88" t="s">
        <v>18</v>
      </c>
      <c r="AA120" s="21">
        <v>3</v>
      </c>
      <c r="AB120" s="21">
        <v>5</v>
      </c>
      <c r="AC120" s="21">
        <v>2</v>
      </c>
      <c r="AD120" s="21">
        <v>5</v>
      </c>
      <c r="AE120" s="21">
        <v>0</v>
      </c>
      <c r="AF120" s="21">
        <v>3</v>
      </c>
      <c r="AG120" s="21">
        <v>0</v>
      </c>
      <c r="AH120" s="22">
        <f>(AA120*$AA$2)+(AB120*$AB$2)+(AC120*$AC$2)+(AD120*$AD$2)+(AE120*$AE$2)+(AF120*$AF$2)+(AG120*$AG$2)</f>
        <v>270</v>
      </c>
      <c r="AI120" s="21">
        <v>5</v>
      </c>
      <c r="AJ120" s="21">
        <v>5</v>
      </c>
      <c r="AK120" s="21">
        <v>4</v>
      </c>
      <c r="AL120" s="21">
        <v>5</v>
      </c>
      <c r="AM120" s="21">
        <v>3</v>
      </c>
      <c r="AN120" s="21">
        <v>5</v>
      </c>
      <c r="AO120" s="21">
        <v>5</v>
      </c>
      <c r="AP120" s="21">
        <f>(AI120*$AI$2)+(AJ120*$AJ$2)+(AK120*$AK$2)+(AL120*$AL$2)+(AM120*$AM$2)+(AN120*$AN$2)+(AO120*$AO$2)</f>
        <v>480</v>
      </c>
      <c r="AQ120" s="21">
        <f>AP120+AH120</f>
        <v>750</v>
      </c>
      <c r="AR120" s="80" t="s">
        <v>459</v>
      </c>
      <c r="AS120" s="80"/>
      <c r="AT120" s="23" t="s">
        <v>458</v>
      </c>
      <c r="AU120" s="17"/>
      <c r="AV120" s="23" t="s">
        <v>262</v>
      </c>
      <c r="AW120" s="17"/>
      <c r="AX120" s="17"/>
      <c r="AY120" s="17"/>
      <c r="AZ120" s="17"/>
      <c r="BA120" s="17"/>
      <c r="BB120" s="17"/>
      <c r="BC120" s="17"/>
      <c r="BD120" s="52">
        <f>SUM(AX120:BC120)</f>
        <v>0</v>
      </c>
      <c r="BE120" s="17"/>
      <c r="BF120" s="17"/>
      <c r="BG120" s="16" t="s">
        <v>58</v>
      </c>
      <c r="BH120" s="51"/>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row>
    <row r="121" spans="1:173" ht="25" customHeight="1">
      <c r="A121" s="21"/>
      <c r="B121" s="21">
        <v>1</v>
      </c>
      <c r="C121" s="21"/>
      <c r="D121" s="21"/>
      <c r="E121" s="69" t="s">
        <v>457</v>
      </c>
      <c r="F121" s="69" t="s">
        <v>456</v>
      </c>
      <c r="G121" s="69"/>
      <c r="H121" s="73">
        <v>45877</v>
      </c>
      <c r="I121" s="73">
        <v>45877</v>
      </c>
      <c r="J121" s="73">
        <v>45896</v>
      </c>
      <c r="K121" s="54">
        <f>J121-I121</f>
        <v>19</v>
      </c>
      <c r="L121" s="47" t="s">
        <v>14</v>
      </c>
      <c r="M121" s="26" t="s">
        <v>74</v>
      </c>
      <c r="N121" s="25"/>
      <c r="O121" s="23" t="s">
        <v>13</v>
      </c>
      <c r="P121" s="23" t="s">
        <v>58</v>
      </c>
      <c r="Q121" s="23" t="s">
        <v>455</v>
      </c>
      <c r="R121" s="23" t="s">
        <v>126</v>
      </c>
      <c r="S121" s="23" t="s">
        <v>210</v>
      </c>
      <c r="T121" s="23" t="s">
        <v>210</v>
      </c>
      <c r="U121" s="23"/>
      <c r="V121" s="23"/>
      <c r="W121" s="23" t="s">
        <v>27</v>
      </c>
      <c r="X121" s="21" t="s">
        <v>5</v>
      </c>
      <c r="Y121" s="23" t="s">
        <v>126</v>
      </c>
      <c r="Z121" s="23" t="s">
        <v>18</v>
      </c>
      <c r="AA121" s="22">
        <v>3</v>
      </c>
      <c r="AB121" s="22">
        <v>5</v>
      </c>
      <c r="AC121" s="22">
        <v>1</v>
      </c>
      <c r="AD121" s="22">
        <v>5</v>
      </c>
      <c r="AE121" s="22">
        <v>0</v>
      </c>
      <c r="AF121" s="22">
        <v>3</v>
      </c>
      <c r="AG121" s="22">
        <v>3</v>
      </c>
      <c r="AH121" s="22">
        <f>(AA121*$AA$2)+(AB121*$AB$2)+(AC121*$AC$2)+(AD121*$AD$2)+(AE121*$AE$2)+(AF121*$AF$2)+(AG121*$AG$2)</f>
        <v>300</v>
      </c>
      <c r="AI121" s="22">
        <v>5</v>
      </c>
      <c r="AJ121" s="22">
        <v>5</v>
      </c>
      <c r="AK121" s="22">
        <v>5</v>
      </c>
      <c r="AL121" s="22">
        <v>5</v>
      </c>
      <c r="AM121" s="22">
        <v>5</v>
      </c>
      <c r="AN121" s="22">
        <v>5</v>
      </c>
      <c r="AO121" s="22">
        <v>5</v>
      </c>
      <c r="AP121" s="21">
        <f>(AI121*$AI$2)+(AJ121*$AJ$2)+(AK121*$AK$2)+(AL121*$AL$2)+(AM121*$AM$2)+(AN121*$AN$2)+(AO121*$AO$2)</f>
        <v>525</v>
      </c>
      <c r="AQ121" s="23">
        <f>AP121+AH121</f>
        <v>825</v>
      </c>
      <c r="AR121" s="20" t="s">
        <v>454</v>
      </c>
      <c r="AS121" s="20"/>
      <c r="AT121" s="18" t="s">
        <v>227</v>
      </c>
      <c r="AU121" s="17"/>
      <c r="AV121" s="143" t="s">
        <v>453</v>
      </c>
      <c r="AW121" s="17"/>
      <c r="AX121" s="17"/>
      <c r="AY121" s="17"/>
      <c r="AZ121" s="17"/>
      <c r="BA121" s="17"/>
      <c r="BB121" s="17"/>
      <c r="BC121" s="17"/>
      <c r="BD121" s="52">
        <f>SUM(AX121:BC121)</f>
        <v>0</v>
      </c>
      <c r="BE121" s="17"/>
      <c r="BF121" s="17"/>
      <c r="BG121" s="16" t="s">
        <v>58</v>
      </c>
      <c r="BH121" s="48"/>
    </row>
    <row r="122" spans="1:173" s="50" customFormat="1" ht="62.5" customHeight="1">
      <c r="A122" s="21"/>
      <c r="B122" s="21"/>
      <c r="C122" s="16"/>
      <c r="D122" s="21"/>
      <c r="E122" s="69" t="s">
        <v>452</v>
      </c>
      <c r="F122" s="69" t="s">
        <v>451</v>
      </c>
      <c r="G122" s="69" t="s">
        <v>450</v>
      </c>
      <c r="H122" s="73">
        <v>45901</v>
      </c>
      <c r="I122" s="29">
        <v>45931</v>
      </c>
      <c r="J122" s="29">
        <v>45950</v>
      </c>
      <c r="K122" s="54">
        <f>J122-I122</f>
        <v>19</v>
      </c>
      <c r="L122" s="72" t="s">
        <v>14</v>
      </c>
      <c r="M122" s="67" t="s">
        <v>60</v>
      </c>
      <c r="N122" s="23" t="s">
        <v>59</v>
      </c>
      <c r="O122" s="23" t="s">
        <v>32</v>
      </c>
      <c r="P122" s="23" t="s">
        <v>58</v>
      </c>
      <c r="Q122" s="23" t="s">
        <v>57</v>
      </c>
      <c r="R122" s="23" t="s">
        <v>30</v>
      </c>
      <c r="S122" s="23" t="s">
        <v>169</v>
      </c>
      <c r="T122" s="23" t="s">
        <v>4</v>
      </c>
      <c r="U122" s="70" t="s">
        <v>8</v>
      </c>
      <c r="V122" s="23" t="s">
        <v>56</v>
      </c>
      <c r="W122" s="23" t="s">
        <v>449</v>
      </c>
      <c r="X122" s="21" t="s">
        <v>5</v>
      </c>
      <c r="Y122" s="70" t="s">
        <v>4</v>
      </c>
      <c r="Z122" s="70" t="s">
        <v>449</v>
      </c>
      <c r="AA122" s="70">
        <v>5</v>
      </c>
      <c r="AB122" s="70">
        <v>1</v>
      </c>
      <c r="AC122" s="70">
        <v>5</v>
      </c>
      <c r="AD122" s="70">
        <v>3</v>
      </c>
      <c r="AE122" s="70">
        <v>1</v>
      </c>
      <c r="AF122" s="71">
        <v>3</v>
      </c>
      <c r="AG122" s="70">
        <v>3</v>
      </c>
      <c r="AH122" s="70">
        <f>(AA122*$AA$2)+(AB122*$AB$2)+(AC122*$AC$2)+(AD122*$AD$2)+(AE122*$AE$2)+(AF122*$AF$2)+(AG122*$AG$2)</f>
        <v>315</v>
      </c>
      <c r="AI122" s="70">
        <v>5</v>
      </c>
      <c r="AJ122" s="70">
        <v>5</v>
      </c>
      <c r="AK122" s="70">
        <v>4</v>
      </c>
      <c r="AL122" s="70">
        <v>3</v>
      </c>
      <c r="AM122" s="70">
        <v>5</v>
      </c>
      <c r="AN122" s="16">
        <v>5</v>
      </c>
      <c r="AO122" s="70">
        <v>5</v>
      </c>
      <c r="AP122" s="21">
        <f>(AI122*$AI$2)+(AJ122*$AJ$2)+(AK122*$AK$2)+(AL122*$AL$2)+(AM122*$AM$2)+(AN122*$AN$2)+(AO122*$AO$2)</f>
        <v>480</v>
      </c>
      <c r="AQ122" s="23">
        <f>AP122+AH122</f>
        <v>795</v>
      </c>
      <c r="AR122" s="18" t="s">
        <v>448</v>
      </c>
      <c r="AS122" s="17"/>
      <c r="AT122" s="17" t="s">
        <v>54</v>
      </c>
      <c r="AU122" s="17"/>
      <c r="AV122" s="17" t="s">
        <v>54</v>
      </c>
      <c r="AW122" s="17"/>
      <c r="AX122" s="17"/>
      <c r="AY122" s="17"/>
      <c r="AZ122" s="17"/>
      <c r="BA122" s="17"/>
      <c r="BB122" s="17"/>
      <c r="BC122" s="17"/>
      <c r="BD122" s="52">
        <f>SUM(AX122:BC122)</f>
        <v>0</v>
      </c>
      <c r="BE122" s="16"/>
      <c r="BF122" s="17"/>
      <c r="BG122" s="125" t="s">
        <v>58</v>
      </c>
      <c r="BH122" s="51"/>
    </row>
    <row r="123" spans="1:173" ht="56.5" customHeight="1">
      <c r="A123" s="21"/>
      <c r="B123" s="21">
        <v>1</v>
      </c>
      <c r="C123" s="21" t="s">
        <v>447</v>
      </c>
      <c r="D123" s="21"/>
      <c r="E123" s="69" t="s">
        <v>446</v>
      </c>
      <c r="F123" s="69" t="s">
        <v>445</v>
      </c>
      <c r="G123" s="69" t="s">
        <v>444</v>
      </c>
      <c r="H123" s="29">
        <v>45758</v>
      </c>
      <c r="I123" s="73">
        <v>45761</v>
      </c>
      <c r="J123" s="73">
        <v>45777</v>
      </c>
      <c r="K123" s="54">
        <f>J123-I123</f>
        <v>16</v>
      </c>
      <c r="L123" s="72" t="s">
        <v>14</v>
      </c>
      <c r="M123" s="16" t="s">
        <v>196</v>
      </c>
      <c r="N123" s="25" t="s">
        <v>59</v>
      </c>
      <c r="O123" s="23" t="s">
        <v>32</v>
      </c>
      <c r="P123" s="23" t="s">
        <v>58</v>
      </c>
      <c r="Q123" s="16" t="s">
        <v>57</v>
      </c>
      <c r="R123" s="23" t="s">
        <v>439</v>
      </c>
      <c r="S123" s="23" t="s">
        <v>363</v>
      </c>
      <c r="T123" s="23" t="s">
        <v>49</v>
      </c>
      <c r="U123" s="23" t="s">
        <v>8</v>
      </c>
      <c r="V123" s="23" t="s">
        <v>56</v>
      </c>
      <c r="W123" s="23" t="s">
        <v>6</v>
      </c>
      <c r="X123" s="21" t="s">
        <v>5</v>
      </c>
      <c r="Y123" s="21" t="s">
        <v>4</v>
      </c>
      <c r="Z123" s="88" t="s">
        <v>3</v>
      </c>
      <c r="AA123" s="21">
        <v>3</v>
      </c>
      <c r="AB123" s="21">
        <v>5</v>
      </c>
      <c r="AC123" s="21">
        <v>3</v>
      </c>
      <c r="AD123" s="21">
        <v>5</v>
      </c>
      <c r="AE123" s="21">
        <v>3</v>
      </c>
      <c r="AF123" s="21">
        <v>3</v>
      </c>
      <c r="AG123" s="21">
        <v>5</v>
      </c>
      <c r="AH123" s="22">
        <f>(AA123*$AA$2)+(AB123*$AB$2)+(AC123*$AC$2)+(AD123*$AD$2)+(AE123*$AE$2)+(AF123*$AF$2)+(AG123*$AG$2)</f>
        <v>405</v>
      </c>
      <c r="AI123" s="21">
        <v>5</v>
      </c>
      <c r="AJ123" s="21">
        <v>5</v>
      </c>
      <c r="AK123" s="21">
        <v>4</v>
      </c>
      <c r="AL123" s="21">
        <v>3</v>
      </c>
      <c r="AM123" s="21">
        <v>3</v>
      </c>
      <c r="AN123" s="21">
        <v>5</v>
      </c>
      <c r="AO123" s="21">
        <v>5</v>
      </c>
      <c r="AP123" s="21">
        <f>(AI123*$AI$2)+(AJ123*$AJ$2)+(AK123*$AK$2)+(AL123*$AL$2)+(AM123*$AM$2)+(AN123*$AN$2)+(AO123*$AO$2)</f>
        <v>450</v>
      </c>
      <c r="AQ123" s="21">
        <f>AP123+AH123</f>
        <v>855</v>
      </c>
      <c r="AR123" s="80" t="s">
        <v>436</v>
      </c>
      <c r="AS123" s="80" t="s">
        <v>443</v>
      </c>
      <c r="AT123" s="18">
        <v>10000</v>
      </c>
      <c r="AU123" s="17"/>
      <c r="AV123" s="23" t="s">
        <v>54</v>
      </c>
      <c r="AW123" s="17"/>
      <c r="AX123" s="17"/>
      <c r="AY123" s="17"/>
      <c r="AZ123" s="17">
        <v>0</v>
      </c>
      <c r="BA123" s="17">
        <v>0</v>
      </c>
      <c r="BB123" s="17">
        <v>0</v>
      </c>
      <c r="BC123" s="17"/>
      <c r="BD123" s="52">
        <f>SUM(AX123:BC123)</f>
        <v>0</v>
      </c>
      <c r="BE123" s="148">
        <v>45870</v>
      </c>
      <c r="BF123" s="150">
        <v>46204</v>
      </c>
      <c r="BG123" s="23" t="s">
        <v>58</v>
      </c>
      <c r="BH123" s="51"/>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row>
    <row r="124" spans="1:173" ht="35" customHeight="1">
      <c r="A124" s="21"/>
      <c r="B124" s="21">
        <v>1</v>
      </c>
      <c r="C124" s="149"/>
      <c r="D124" s="32"/>
      <c r="E124" s="69" t="s">
        <v>442</v>
      </c>
      <c r="F124" s="69" t="s">
        <v>441</v>
      </c>
      <c r="G124" s="69" t="s">
        <v>440</v>
      </c>
      <c r="H124" s="99">
        <v>45776</v>
      </c>
      <c r="I124" s="73">
        <v>45761</v>
      </c>
      <c r="J124" s="73">
        <v>45777</v>
      </c>
      <c r="K124" s="54">
        <f>J124-I124</f>
        <v>16</v>
      </c>
      <c r="L124" s="72" t="s">
        <v>14</v>
      </c>
      <c r="M124" s="16" t="s">
        <v>196</v>
      </c>
      <c r="N124" s="25" t="s">
        <v>59</v>
      </c>
      <c r="O124" s="23" t="s">
        <v>32</v>
      </c>
      <c r="P124" s="23" t="s">
        <v>58</v>
      </c>
      <c r="Q124" s="16" t="s">
        <v>57</v>
      </c>
      <c r="R124" s="23" t="s">
        <v>439</v>
      </c>
      <c r="S124" s="23" t="s">
        <v>438</v>
      </c>
      <c r="T124" s="23" t="s">
        <v>437</v>
      </c>
      <c r="U124" s="23" t="s">
        <v>8</v>
      </c>
      <c r="V124" s="23" t="s">
        <v>56</v>
      </c>
      <c r="W124" s="23" t="s">
        <v>6</v>
      </c>
      <c r="X124" s="21" t="s">
        <v>5</v>
      </c>
      <c r="Y124" s="21" t="s">
        <v>4</v>
      </c>
      <c r="Z124" s="88" t="s">
        <v>3</v>
      </c>
      <c r="AA124" s="21">
        <v>3</v>
      </c>
      <c r="AB124" s="21">
        <v>5</v>
      </c>
      <c r="AC124" s="21">
        <v>3</v>
      </c>
      <c r="AD124" s="21">
        <v>5</v>
      </c>
      <c r="AE124" s="21">
        <v>3</v>
      </c>
      <c r="AF124" s="21">
        <v>3</v>
      </c>
      <c r="AG124" s="21">
        <v>5</v>
      </c>
      <c r="AH124" s="22">
        <f>(AA124*$AA$2)+(AB124*$AB$2)+(AC124*$AC$2)+(AD124*$AD$2)+(AE124*$AE$2)+(AF124*$AF$2)+(AG124*$AG$2)</f>
        <v>405</v>
      </c>
      <c r="AI124" s="21">
        <v>5</v>
      </c>
      <c r="AJ124" s="21">
        <v>5</v>
      </c>
      <c r="AK124" s="21">
        <v>4</v>
      </c>
      <c r="AL124" s="21">
        <v>3</v>
      </c>
      <c r="AM124" s="21">
        <v>3</v>
      </c>
      <c r="AN124" s="21">
        <v>5</v>
      </c>
      <c r="AO124" s="21">
        <v>5</v>
      </c>
      <c r="AP124" s="21">
        <f>(AI124*$AI$2)+(AJ124*$AJ$2)+(AK124*$AK$2)+(AL124*$AL$2)+(AM124*$AM$2)+(AN124*$AN$2)+(AO124*$AO$2)</f>
        <v>450</v>
      </c>
      <c r="AQ124" s="21">
        <f>AP124+AH124</f>
        <v>855</v>
      </c>
      <c r="AR124" s="80" t="s">
        <v>436</v>
      </c>
      <c r="AS124" s="80" t="s">
        <v>435</v>
      </c>
      <c r="AT124" s="18">
        <v>10000</v>
      </c>
      <c r="AU124" s="17"/>
      <c r="AV124" s="23" t="s">
        <v>54</v>
      </c>
      <c r="AW124" s="17"/>
      <c r="AX124" s="17"/>
      <c r="AY124" s="17"/>
      <c r="AZ124" s="17"/>
      <c r="BA124" s="17"/>
      <c r="BB124" s="17"/>
      <c r="BC124" s="17"/>
      <c r="BD124" s="52">
        <f>SUM(AX124:BC124)</f>
        <v>0</v>
      </c>
      <c r="BE124" s="148">
        <v>45870</v>
      </c>
      <c r="BF124" s="148">
        <v>46204</v>
      </c>
      <c r="BG124" s="16" t="s">
        <v>58</v>
      </c>
      <c r="BH124" s="51"/>
      <c r="BI124" s="147"/>
      <c r="BJ124" s="147"/>
      <c r="BK124" s="147"/>
      <c r="BL124" s="147"/>
      <c r="BM124" s="147"/>
      <c r="BN124" s="147"/>
      <c r="BO124" s="147"/>
      <c r="BP124" s="147"/>
      <c r="BQ124" s="147"/>
      <c r="BR124" s="147"/>
      <c r="BS124" s="147"/>
      <c r="BT124" s="147"/>
      <c r="BU124" s="147"/>
      <c r="BV124" s="147"/>
      <c r="BW124" s="147"/>
      <c r="BX124" s="147"/>
      <c r="BY124" s="147"/>
      <c r="BZ124" s="147"/>
      <c r="CA124" s="147"/>
      <c r="CB124" s="147"/>
      <c r="CC124" s="147"/>
      <c r="CD124" s="147"/>
      <c r="CE124" s="147"/>
      <c r="CF124" s="147"/>
      <c r="CG124" s="147"/>
      <c r="CH124" s="147"/>
      <c r="CI124" s="147"/>
      <c r="CJ124" s="147"/>
      <c r="CK124" s="147"/>
      <c r="CL124" s="147"/>
      <c r="CM124" s="147"/>
      <c r="CN124" s="147"/>
      <c r="CO124" s="147"/>
      <c r="CP124" s="147"/>
      <c r="CQ124" s="147"/>
      <c r="CR124" s="147"/>
      <c r="CS124" s="147"/>
      <c r="CT124" s="147"/>
      <c r="CU124" s="147"/>
      <c r="CV124" s="147"/>
      <c r="CW124" s="147"/>
      <c r="CX124" s="147"/>
      <c r="CY124" s="147"/>
      <c r="CZ124" s="147"/>
      <c r="DA124" s="147"/>
      <c r="DB124" s="147"/>
      <c r="DC124" s="147"/>
      <c r="DD124" s="147"/>
      <c r="DE124" s="147"/>
      <c r="DF124" s="147"/>
      <c r="DG124" s="147"/>
      <c r="DH124" s="147"/>
      <c r="DI124" s="147"/>
      <c r="DJ124" s="147"/>
      <c r="DK124" s="147"/>
      <c r="DL124" s="147"/>
      <c r="DM124" s="147"/>
      <c r="DN124" s="147"/>
      <c r="DO124" s="147"/>
      <c r="DP124" s="147"/>
      <c r="DQ124" s="147"/>
      <c r="DR124" s="147"/>
      <c r="DS124" s="147"/>
      <c r="DT124" s="147"/>
      <c r="DU124" s="147"/>
      <c r="DV124" s="147"/>
      <c r="DW124" s="147"/>
      <c r="DX124" s="147"/>
      <c r="DY124" s="147"/>
      <c r="DZ124" s="147"/>
      <c r="EA124" s="147"/>
      <c r="EB124" s="147"/>
      <c r="EC124" s="147"/>
      <c r="ED124" s="147"/>
      <c r="EE124" s="147"/>
      <c r="EF124" s="147"/>
      <c r="EG124" s="147"/>
      <c r="EH124" s="147"/>
      <c r="EI124" s="147"/>
      <c r="EJ124" s="147"/>
      <c r="EK124" s="147"/>
      <c r="EL124" s="147"/>
      <c r="EM124" s="147"/>
      <c r="EN124" s="147"/>
      <c r="EO124" s="147"/>
      <c r="EP124" s="147"/>
      <c r="EQ124" s="147"/>
      <c r="ER124" s="147"/>
      <c r="ES124" s="147"/>
      <c r="ET124" s="147"/>
      <c r="EU124" s="147"/>
      <c r="EV124" s="147"/>
      <c r="EW124" s="147"/>
      <c r="EX124" s="147"/>
      <c r="EY124" s="147"/>
      <c r="EZ124" s="147"/>
      <c r="FA124" s="147"/>
      <c r="FB124" s="147"/>
      <c r="FC124" s="147"/>
      <c r="FD124" s="147"/>
      <c r="FE124" s="147"/>
      <c r="FF124" s="147"/>
      <c r="FG124" s="147"/>
      <c r="FH124" s="147"/>
      <c r="FI124" s="147"/>
      <c r="FJ124" s="147"/>
      <c r="FK124" s="147"/>
      <c r="FL124" s="147"/>
      <c r="FM124" s="147"/>
      <c r="FN124" s="147"/>
      <c r="FO124" s="147"/>
      <c r="FP124" s="147"/>
      <c r="FQ124" s="147"/>
    </row>
    <row r="125" spans="1:173" s="48" customFormat="1" ht="78">
      <c r="A125" s="21"/>
      <c r="B125" s="21"/>
      <c r="C125" s="16"/>
      <c r="D125" s="21"/>
      <c r="E125" s="69" t="s">
        <v>434</v>
      </c>
      <c r="F125" s="69" t="s">
        <v>433</v>
      </c>
      <c r="G125" s="69" t="s">
        <v>432</v>
      </c>
      <c r="H125" s="73">
        <v>45961</v>
      </c>
      <c r="I125" s="29">
        <v>45960</v>
      </c>
      <c r="J125" s="29">
        <v>45976</v>
      </c>
      <c r="K125" s="54">
        <f>J125-I125</f>
        <v>16</v>
      </c>
      <c r="L125" s="72" t="s">
        <v>14</v>
      </c>
      <c r="M125" s="67" t="s">
        <v>60</v>
      </c>
      <c r="N125" s="23" t="s">
        <v>59</v>
      </c>
      <c r="O125" s="23" t="s">
        <v>32</v>
      </c>
      <c r="P125" s="23" t="s">
        <v>58</v>
      </c>
      <c r="Q125" s="23" t="s">
        <v>57</v>
      </c>
      <c r="R125" s="23" t="s">
        <v>273</v>
      </c>
      <c r="S125" s="23" t="s">
        <v>42</v>
      </c>
      <c r="T125" s="23" t="s">
        <v>4</v>
      </c>
      <c r="U125" s="70" t="s">
        <v>8</v>
      </c>
      <c r="V125" s="23" t="s">
        <v>56</v>
      </c>
      <c r="W125" s="23" t="s">
        <v>6</v>
      </c>
      <c r="X125" s="21" t="s">
        <v>5</v>
      </c>
      <c r="Y125" s="70" t="s">
        <v>4</v>
      </c>
      <c r="Z125" s="23" t="s">
        <v>18</v>
      </c>
      <c r="AA125" s="70">
        <v>5</v>
      </c>
      <c r="AB125" s="70">
        <v>1</v>
      </c>
      <c r="AC125" s="70">
        <v>5</v>
      </c>
      <c r="AD125" s="70">
        <v>3</v>
      </c>
      <c r="AE125" s="70">
        <v>0</v>
      </c>
      <c r="AF125" s="71">
        <v>3</v>
      </c>
      <c r="AG125" s="70">
        <v>3</v>
      </c>
      <c r="AH125" s="70">
        <f>(AA125*$AA$2)+(AB125*$AB$2)+(AC125*$AC$2)+(AD125*$AD$2)+(AE125*$AE$2)+(AF125*$AF$2)+(AG125*$AG$2)</f>
        <v>300</v>
      </c>
      <c r="AI125" s="70">
        <v>5</v>
      </c>
      <c r="AJ125" s="70">
        <v>5</v>
      </c>
      <c r="AK125" s="70">
        <v>4</v>
      </c>
      <c r="AL125" s="70">
        <v>3</v>
      </c>
      <c r="AM125" s="70">
        <v>5</v>
      </c>
      <c r="AN125" s="16">
        <v>5</v>
      </c>
      <c r="AO125" s="70">
        <v>5</v>
      </c>
      <c r="AP125" s="20">
        <f>(AI125*$AI$2)+(AJ125*$AJ$2)+(AK125*$AK$2)+(AL125*$AL$2)+(AM125*$AM$2)+(AN125*$AN$2)+(AO125*$AO$2)</f>
        <v>480</v>
      </c>
      <c r="AQ125" s="23">
        <f>AP125+AH125</f>
        <v>780</v>
      </c>
      <c r="AR125" s="18" t="s">
        <v>55</v>
      </c>
      <c r="AS125" s="17"/>
      <c r="AT125" s="17" t="s">
        <v>54</v>
      </c>
      <c r="AU125" s="17"/>
      <c r="AV125" s="17" t="s">
        <v>54</v>
      </c>
      <c r="AW125" s="17"/>
      <c r="AX125" s="17"/>
      <c r="AY125" s="17"/>
      <c r="AZ125" s="17"/>
      <c r="BA125" s="17"/>
      <c r="BB125" s="17"/>
      <c r="BC125" s="17"/>
      <c r="BD125" s="52">
        <f>SUM(AX125:BC125)</f>
        <v>0</v>
      </c>
      <c r="BE125" s="16"/>
      <c r="BF125" s="28"/>
      <c r="BG125" s="16" t="s">
        <v>58</v>
      </c>
      <c r="BH125" s="51"/>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c r="DB125" s="50"/>
      <c r="DC125" s="50"/>
      <c r="DD125" s="50"/>
      <c r="DE125" s="50"/>
      <c r="DF125" s="50"/>
      <c r="DG125" s="50"/>
      <c r="DH125" s="50"/>
      <c r="DI125" s="50"/>
      <c r="DJ125" s="50"/>
      <c r="DK125" s="50"/>
      <c r="DL125" s="50"/>
      <c r="DM125" s="50"/>
      <c r="DN125" s="50"/>
      <c r="DO125" s="50"/>
      <c r="DP125" s="50"/>
      <c r="DQ125" s="50"/>
      <c r="DR125" s="50"/>
      <c r="DS125" s="50"/>
      <c r="DT125" s="50"/>
      <c r="DU125" s="50"/>
      <c r="DV125" s="50"/>
      <c r="DW125" s="50"/>
      <c r="DX125" s="50"/>
      <c r="DY125" s="50"/>
      <c r="DZ125" s="50"/>
      <c r="EA125" s="50"/>
      <c r="EB125" s="50"/>
      <c r="EC125" s="50"/>
      <c r="ED125" s="50"/>
      <c r="EE125" s="50"/>
      <c r="EF125" s="50"/>
      <c r="EG125" s="50"/>
      <c r="EH125" s="50"/>
      <c r="EI125" s="50"/>
      <c r="EJ125" s="50"/>
      <c r="EK125" s="50"/>
      <c r="EL125" s="50"/>
      <c r="EM125" s="50"/>
      <c r="EN125" s="50"/>
      <c r="EO125" s="50"/>
      <c r="EP125" s="50"/>
      <c r="EQ125" s="50"/>
      <c r="ER125" s="50"/>
      <c r="ES125" s="50"/>
      <c r="ET125" s="50"/>
      <c r="EU125" s="50"/>
      <c r="EV125" s="50"/>
      <c r="EW125" s="50"/>
      <c r="EX125" s="50"/>
      <c r="EY125" s="50"/>
      <c r="EZ125" s="50"/>
      <c r="FA125" s="50"/>
      <c r="FB125" s="50"/>
      <c r="FC125" s="50"/>
      <c r="FD125" s="50"/>
      <c r="FE125" s="50"/>
      <c r="FF125" s="50"/>
      <c r="FG125" s="50"/>
      <c r="FH125" s="50"/>
      <c r="FI125" s="50"/>
      <c r="FJ125" s="50"/>
      <c r="FK125" s="50"/>
      <c r="FL125" s="50"/>
      <c r="FM125" s="50"/>
      <c r="FN125" s="50"/>
      <c r="FO125" s="50"/>
      <c r="FP125" s="59"/>
      <c r="FQ125" s="51"/>
    </row>
    <row r="126" spans="1:173" s="48" customFormat="1" ht="130">
      <c r="A126" s="21"/>
      <c r="B126" s="21"/>
      <c r="C126" s="32"/>
      <c r="D126" s="21"/>
      <c r="E126" s="69" t="s">
        <v>431</v>
      </c>
      <c r="F126" s="69" t="s">
        <v>430</v>
      </c>
      <c r="G126" s="69"/>
      <c r="H126" s="29">
        <v>45979</v>
      </c>
      <c r="I126" s="29" t="s">
        <v>107</v>
      </c>
      <c r="J126" s="29" t="s">
        <v>107</v>
      </c>
      <c r="K126" s="54"/>
      <c r="L126" s="47"/>
      <c r="M126" s="26" t="s">
        <v>427</v>
      </c>
      <c r="N126" s="25"/>
      <c r="O126" s="23"/>
      <c r="P126" s="23"/>
      <c r="Q126" s="23"/>
      <c r="R126" s="23"/>
      <c r="S126" s="23" t="s">
        <v>128</v>
      </c>
      <c r="T126" s="23" t="s">
        <v>429</v>
      </c>
      <c r="U126" s="23"/>
      <c r="V126" s="23" t="s">
        <v>428</v>
      </c>
      <c r="W126" s="23" t="s">
        <v>427</v>
      </c>
      <c r="X126" s="21" t="s">
        <v>426</v>
      </c>
      <c r="Y126" s="21"/>
      <c r="Z126" s="23"/>
      <c r="AA126" s="22">
        <v>5</v>
      </c>
      <c r="AB126" s="22">
        <v>5</v>
      </c>
      <c r="AC126" s="22">
        <v>2</v>
      </c>
      <c r="AD126" s="22">
        <v>5</v>
      </c>
      <c r="AE126" s="22">
        <v>1</v>
      </c>
      <c r="AF126" s="22">
        <v>3</v>
      </c>
      <c r="AG126" s="22">
        <v>3</v>
      </c>
      <c r="AH126" s="22">
        <f>(AA126*$AA$2)+(AB126*$AB$2)+(AC126*$AC$2)+(AD126*$AD$2)+(AE126*$AE$2)+(AF126*$AF$2)+(AG126*$AG$2)</f>
        <v>360</v>
      </c>
      <c r="AI126" s="22">
        <v>5</v>
      </c>
      <c r="AJ126" s="22">
        <v>5</v>
      </c>
      <c r="AK126" s="22">
        <v>3</v>
      </c>
      <c r="AL126" s="22">
        <v>3</v>
      </c>
      <c r="AM126" s="22">
        <v>3</v>
      </c>
      <c r="AN126" s="22">
        <v>1</v>
      </c>
      <c r="AO126" s="22">
        <v>3</v>
      </c>
      <c r="AP126" s="21">
        <f>(AI126*$AI$2)+(AJ126*$AJ$2)+(AK126*$AK$2)+(AL126*$AL$2)+(AM126*$AM$2)+(AN126*$AN$2)+(AO126*$AO$2)</f>
        <v>345</v>
      </c>
      <c r="AQ126" s="21">
        <f>AP126+AH126</f>
        <v>705</v>
      </c>
      <c r="AR126" s="20" t="s">
        <v>425</v>
      </c>
      <c r="AS126" s="20" t="s">
        <v>424</v>
      </c>
      <c r="AT126" s="18" t="s">
        <v>107</v>
      </c>
      <c r="AU126" s="17"/>
      <c r="AV126" s="17" t="s">
        <v>227</v>
      </c>
      <c r="AW126" s="17"/>
      <c r="AX126" s="17"/>
      <c r="AY126" s="17"/>
      <c r="AZ126" s="17"/>
      <c r="BA126" s="17"/>
      <c r="BB126" s="17"/>
      <c r="BC126" s="17"/>
      <c r="BD126" s="17"/>
      <c r="BE126" s="17" t="s">
        <v>423</v>
      </c>
      <c r="BF126" s="17"/>
      <c r="BG126" s="16" t="s">
        <v>0</v>
      </c>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49"/>
    </row>
    <row r="127" spans="1:173" ht="104">
      <c r="A127" s="21"/>
      <c r="B127" s="21">
        <v>57</v>
      </c>
      <c r="C127" s="21"/>
      <c r="D127" s="21"/>
      <c r="E127" s="69" t="s">
        <v>422</v>
      </c>
      <c r="F127" s="69" t="s">
        <v>421</v>
      </c>
      <c r="G127" s="69" t="s">
        <v>420</v>
      </c>
      <c r="H127" s="29">
        <v>45800</v>
      </c>
      <c r="I127" s="73"/>
      <c r="J127" s="73"/>
      <c r="K127" s="54">
        <f>J127-I127</f>
        <v>0</v>
      </c>
      <c r="L127" s="61" t="s">
        <v>112</v>
      </c>
      <c r="M127" s="26" t="s">
        <v>74</v>
      </c>
      <c r="N127" s="26" t="s">
        <v>59</v>
      </c>
      <c r="O127" s="23" t="s">
        <v>45</v>
      </c>
      <c r="P127" s="23" t="s">
        <v>12</v>
      </c>
      <c r="Q127" s="16" t="s">
        <v>107</v>
      </c>
      <c r="R127" s="23" t="s">
        <v>8</v>
      </c>
      <c r="S127" s="23" t="s">
        <v>21</v>
      </c>
      <c r="T127" s="23" t="s">
        <v>419</v>
      </c>
      <c r="U127" s="23"/>
      <c r="V127" s="23" t="s">
        <v>99</v>
      </c>
      <c r="W127" s="22" t="s">
        <v>286</v>
      </c>
      <c r="X127" s="21" t="s">
        <v>5</v>
      </c>
      <c r="Y127" s="21" t="s">
        <v>4</v>
      </c>
      <c r="Z127" s="23" t="s">
        <v>147</v>
      </c>
      <c r="AA127" s="21">
        <v>3</v>
      </c>
      <c r="AB127" s="21">
        <v>5</v>
      </c>
      <c r="AC127" s="21">
        <v>2</v>
      </c>
      <c r="AD127" s="21">
        <v>5</v>
      </c>
      <c r="AE127" s="21">
        <v>1</v>
      </c>
      <c r="AF127" s="21">
        <v>3</v>
      </c>
      <c r="AG127" s="21">
        <v>3</v>
      </c>
      <c r="AH127" s="22">
        <f>(AA127*$AA$2)+(AB127*$AB$2)+(AC127*$AC$2)+(AD127*$AD$2)+(AE127*$AE$2)+(AF127*$AF$2)+(AG127*$AG$2)</f>
        <v>330</v>
      </c>
      <c r="AI127" s="21">
        <v>3</v>
      </c>
      <c r="AJ127" s="21">
        <v>5</v>
      </c>
      <c r="AK127" s="21">
        <v>2</v>
      </c>
      <c r="AL127" s="21">
        <v>5</v>
      </c>
      <c r="AM127" s="21">
        <v>3</v>
      </c>
      <c r="AN127" s="21">
        <v>3</v>
      </c>
      <c r="AO127" s="21">
        <v>3</v>
      </c>
      <c r="AP127" s="21">
        <f>(AI127*$AI$2)+(AJ127*$AJ$2)+(AK127*$AK$2)+(AL127*$AL$2)+(AM127*$AM$2)+(AN127*$AN$2)+(AO127*$AO$2)</f>
        <v>360</v>
      </c>
      <c r="AQ127" s="21">
        <f>AP127+AH127</f>
        <v>690</v>
      </c>
      <c r="AR127" s="88" t="s">
        <v>418</v>
      </c>
      <c r="AS127" s="80" t="s">
        <v>417</v>
      </c>
      <c r="AT127" s="146"/>
      <c r="AU127" s="23"/>
      <c r="AV127" s="17"/>
      <c r="AW127" s="17"/>
      <c r="AX127" s="17"/>
      <c r="AY127" s="17"/>
      <c r="AZ127" s="17"/>
      <c r="BA127" s="17"/>
      <c r="BB127" s="17"/>
      <c r="BC127" s="17"/>
      <c r="BD127" s="52">
        <f>SUM(AX127:BC127)</f>
        <v>0</v>
      </c>
      <c r="BE127" s="17"/>
      <c r="BF127" s="16"/>
      <c r="BG127" s="16" t="s">
        <v>0</v>
      </c>
      <c r="BH127" s="51"/>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c r="DB127" s="50"/>
      <c r="DC127" s="50"/>
      <c r="DD127" s="50"/>
      <c r="DE127" s="50"/>
      <c r="DF127" s="50"/>
      <c r="DG127" s="50"/>
      <c r="DH127" s="50"/>
      <c r="DI127" s="50"/>
      <c r="DJ127" s="50"/>
      <c r="DK127" s="50"/>
      <c r="DL127" s="50"/>
      <c r="DM127" s="50"/>
      <c r="DN127" s="50"/>
      <c r="DO127" s="50"/>
      <c r="DP127" s="50"/>
      <c r="DQ127" s="50"/>
      <c r="DR127" s="50"/>
      <c r="DS127" s="50"/>
      <c r="DT127" s="50"/>
      <c r="DU127" s="50"/>
      <c r="DV127" s="50"/>
      <c r="DW127" s="50"/>
      <c r="DX127" s="50"/>
      <c r="DY127" s="50"/>
      <c r="DZ127" s="50"/>
      <c r="EA127" s="50"/>
      <c r="EB127" s="50"/>
      <c r="EC127" s="50"/>
      <c r="ED127" s="50"/>
      <c r="EE127" s="50"/>
      <c r="EF127" s="50"/>
      <c r="EG127" s="50"/>
      <c r="EH127" s="50"/>
      <c r="EI127" s="50"/>
      <c r="EJ127" s="50"/>
      <c r="EK127" s="50"/>
      <c r="EL127" s="50"/>
      <c r="EM127" s="50"/>
      <c r="EN127" s="50"/>
      <c r="EO127" s="50"/>
      <c r="EP127" s="50"/>
      <c r="EQ127" s="50"/>
      <c r="ER127" s="50"/>
      <c r="ES127" s="50"/>
      <c r="ET127" s="50"/>
      <c r="EU127" s="50"/>
      <c r="EV127" s="50"/>
      <c r="EW127" s="50"/>
      <c r="EX127" s="50"/>
      <c r="EY127" s="50"/>
      <c r="EZ127" s="50"/>
      <c r="FA127" s="50"/>
      <c r="FB127" s="50"/>
      <c r="FC127" s="50"/>
      <c r="FD127" s="50"/>
      <c r="FE127" s="50"/>
      <c r="FF127" s="50"/>
      <c r="FG127" s="50"/>
      <c r="FH127" s="50"/>
      <c r="FI127" s="50"/>
      <c r="FJ127" s="50"/>
      <c r="FK127" s="50"/>
      <c r="FL127" s="50"/>
      <c r="FM127" s="50"/>
      <c r="FN127" s="50"/>
      <c r="FO127" s="50"/>
      <c r="FP127" s="50"/>
      <c r="FQ127" s="50"/>
    </row>
    <row r="128" spans="1:173" ht="65">
      <c r="A128" s="21"/>
      <c r="B128" s="21">
        <v>100</v>
      </c>
      <c r="C128" s="16"/>
      <c r="D128" s="21"/>
      <c r="E128" s="69" t="s">
        <v>416</v>
      </c>
      <c r="F128" s="69" t="s">
        <v>415</v>
      </c>
      <c r="G128" s="69" t="s">
        <v>414</v>
      </c>
      <c r="H128" s="29">
        <v>45689</v>
      </c>
      <c r="I128" s="73"/>
      <c r="J128" s="73"/>
      <c r="K128" s="54">
        <f>J128-I128</f>
        <v>0</v>
      </c>
      <c r="L128" s="47" t="s">
        <v>39</v>
      </c>
      <c r="M128" s="67" t="s">
        <v>60</v>
      </c>
      <c r="N128" s="145" t="s">
        <v>59</v>
      </c>
      <c r="O128" s="23" t="s">
        <v>32</v>
      </c>
      <c r="P128" s="23" t="s">
        <v>12</v>
      </c>
      <c r="Q128" s="23" t="s">
        <v>57</v>
      </c>
      <c r="R128" s="23" t="s">
        <v>170</v>
      </c>
      <c r="S128" s="23" t="s">
        <v>37</v>
      </c>
      <c r="T128" s="23" t="s">
        <v>163</v>
      </c>
      <c r="U128" s="23" t="s">
        <v>31</v>
      </c>
      <c r="V128" s="23" t="s">
        <v>66</v>
      </c>
      <c r="W128" s="70" t="s">
        <v>27</v>
      </c>
      <c r="X128" s="21" t="s">
        <v>5</v>
      </c>
      <c r="Y128" s="23" t="s">
        <v>4</v>
      </c>
      <c r="Z128" s="70" t="s">
        <v>18</v>
      </c>
      <c r="AA128" s="70">
        <v>3</v>
      </c>
      <c r="AB128" s="70">
        <v>5</v>
      </c>
      <c r="AC128" s="70">
        <v>1</v>
      </c>
      <c r="AD128" s="70">
        <v>3</v>
      </c>
      <c r="AE128" s="70">
        <v>0</v>
      </c>
      <c r="AF128" s="70">
        <v>5</v>
      </c>
      <c r="AG128" s="70">
        <v>3</v>
      </c>
      <c r="AH128" s="71">
        <f>(AA128*$AA$2)+(AB128*$AB$2)+(AC128*$AC$2)+(AD128*$AD$2)+(AE128*$AE$2)+(AF128*$AF$2)+(AG128*$AG$2)</f>
        <v>300</v>
      </c>
      <c r="AI128" s="70">
        <v>5</v>
      </c>
      <c r="AJ128" s="70">
        <v>5</v>
      </c>
      <c r="AK128" s="70">
        <v>4</v>
      </c>
      <c r="AL128" s="70">
        <v>3</v>
      </c>
      <c r="AM128" s="70">
        <v>3</v>
      </c>
      <c r="AN128" s="70">
        <v>3</v>
      </c>
      <c r="AO128" s="70">
        <v>3</v>
      </c>
      <c r="AP128" s="16">
        <f>(AI128*$AI$2)+(AJ128*$AJ$2)+(AK128*$AK$2)+(AL128*$AL$2)+(AM128*$AM$2)+(AN128*$AN$2)+(AO128*$AO$2)</f>
        <v>390</v>
      </c>
      <c r="AQ128" s="21">
        <f>AP128+AH128</f>
        <v>690</v>
      </c>
      <c r="AR128" s="20" t="s">
        <v>413</v>
      </c>
      <c r="AS128" s="20" t="s">
        <v>412</v>
      </c>
      <c r="AT128" s="18"/>
      <c r="AU128" s="17"/>
      <c r="AV128" s="17" t="s">
        <v>411</v>
      </c>
      <c r="AW128" s="17"/>
      <c r="AX128" s="17"/>
      <c r="AY128" s="17"/>
      <c r="AZ128" s="17"/>
      <c r="BA128" s="17"/>
      <c r="BB128" s="17"/>
      <c r="BC128" s="17"/>
      <c r="BD128" s="52">
        <f>SUM(AX128:BC128)</f>
        <v>0</v>
      </c>
      <c r="BE128" s="17"/>
      <c r="BF128" s="17"/>
      <c r="BG128" s="16" t="s">
        <v>0</v>
      </c>
      <c r="BH128" s="144"/>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row>
    <row r="129" spans="1:173" s="140" customFormat="1" ht="26">
      <c r="A129" s="21"/>
      <c r="B129" s="21">
        <v>93</v>
      </c>
      <c r="C129" s="21"/>
      <c r="D129" s="21"/>
      <c r="E129" s="69" t="s">
        <v>410</v>
      </c>
      <c r="F129" s="69" t="s">
        <v>409</v>
      </c>
      <c r="G129" s="69"/>
      <c r="H129" s="29">
        <v>45748</v>
      </c>
      <c r="I129" s="73"/>
      <c r="J129" s="73"/>
      <c r="K129" s="53"/>
      <c r="L129" s="61" t="s">
        <v>39</v>
      </c>
      <c r="M129" s="67" t="s">
        <v>60</v>
      </c>
      <c r="N129" s="25"/>
      <c r="O129" s="143" t="s">
        <v>13</v>
      </c>
      <c r="P129" s="23" t="s">
        <v>12</v>
      </c>
      <c r="Q129" s="21"/>
      <c r="R129" s="102" t="s">
        <v>163</v>
      </c>
      <c r="S129" s="143" t="s">
        <v>37</v>
      </c>
      <c r="T129" s="143" t="s">
        <v>37</v>
      </c>
      <c r="U129" s="143"/>
      <c r="V129" s="23" t="s">
        <v>66</v>
      </c>
      <c r="W129" s="143" t="s">
        <v>27</v>
      </c>
      <c r="X129" s="21" t="s">
        <v>5</v>
      </c>
      <c r="Y129" s="23" t="s">
        <v>126</v>
      </c>
      <c r="Z129" s="22" t="s">
        <v>3</v>
      </c>
      <c r="AA129" s="23">
        <v>3</v>
      </c>
      <c r="AB129" s="23">
        <v>5</v>
      </c>
      <c r="AC129" s="23">
        <v>1</v>
      </c>
      <c r="AD129" s="23">
        <v>5</v>
      </c>
      <c r="AE129" s="23">
        <v>0</v>
      </c>
      <c r="AF129" s="23">
        <v>1</v>
      </c>
      <c r="AG129" s="23">
        <v>3</v>
      </c>
      <c r="AH129" s="22">
        <f>(AA129*$AA$2)+(AB129*$AB$2)+(AC129*$AC$2)+(AD129*$AD$2)+(AE129*$AE$2)+(AF129*$AF$2)+(AG129*$AG$2)</f>
        <v>270</v>
      </c>
      <c r="AI129" s="21">
        <v>5</v>
      </c>
      <c r="AJ129" s="21">
        <v>5</v>
      </c>
      <c r="AK129" s="21">
        <v>2</v>
      </c>
      <c r="AL129" s="21">
        <v>3</v>
      </c>
      <c r="AM129" s="21">
        <v>5</v>
      </c>
      <c r="AN129" s="21">
        <v>3</v>
      </c>
      <c r="AO129" s="21">
        <v>5</v>
      </c>
      <c r="AP129" s="21">
        <f>(AI129*$AI$2)+(AJ129*$AJ$2)+(AK129*$AK$2)+(AL129*$AL$2)+(AM129*$AM$2)+(AN129*$AN$2)+(AO129*$AO$2)</f>
        <v>420</v>
      </c>
      <c r="AQ129" s="21">
        <f>AP129+AH129</f>
        <v>690</v>
      </c>
      <c r="AR129" s="142" t="s">
        <v>408</v>
      </c>
      <c r="AS129" s="20"/>
      <c r="AT129" s="52"/>
      <c r="AU129" s="102"/>
      <c r="AV129" s="102"/>
      <c r="AW129" s="102"/>
      <c r="AX129" s="102"/>
      <c r="AY129" s="102"/>
      <c r="AZ129" s="102"/>
      <c r="BA129" s="102"/>
      <c r="BB129" s="102"/>
      <c r="BC129" s="102"/>
      <c r="BD129" s="52">
        <f>SUM(AX129:BC129)</f>
        <v>0</v>
      </c>
      <c r="BE129" s="102"/>
      <c r="BF129" s="102"/>
      <c r="BG129" s="102" t="s">
        <v>0</v>
      </c>
      <c r="BH129" s="48"/>
      <c r="BI129" s="50"/>
      <c r="BJ129" s="50"/>
      <c r="BK129" s="141"/>
      <c r="BL129" s="141"/>
      <c r="BM129" s="141"/>
      <c r="BN129" s="141"/>
      <c r="BO129" s="141"/>
      <c r="BP129" s="141"/>
      <c r="BQ129" s="141"/>
      <c r="BR129" s="141"/>
      <c r="BS129" s="141"/>
      <c r="BT129" s="141"/>
      <c r="BU129" s="141"/>
      <c r="BV129" s="141"/>
      <c r="BW129" s="141"/>
      <c r="BX129" s="141"/>
      <c r="BY129" s="141"/>
      <c r="BZ129" s="141"/>
      <c r="CA129" s="141"/>
      <c r="CB129" s="141"/>
      <c r="CC129" s="141"/>
      <c r="CD129" s="141"/>
      <c r="CE129" s="141"/>
      <c r="CF129" s="141"/>
      <c r="CG129" s="141"/>
      <c r="CH129" s="141"/>
      <c r="CI129" s="141"/>
      <c r="CJ129" s="141"/>
      <c r="CK129" s="141"/>
      <c r="CL129" s="141"/>
      <c r="CM129" s="141"/>
      <c r="CN129" s="141"/>
      <c r="CO129" s="141"/>
      <c r="CP129" s="141"/>
      <c r="CQ129" s="141"/>
      <c r="CR129" s="141"/>
      <c r="CS129" s="141"/>
      <c r="CT129" s="141"/>
      <c r="CU129" s="141"/>
      <c r="CV129" s="141"/>
      <c r="CW129" s="141"/>
      <c r="CX129" s="141"/>
      <c r="CY129" s="141"/>
      <c r="CZ129" s="141"/>
      <c r="DA129" s="141"/>
      <c r="DB129" s="141"/>
      <c r="DC129" s="141"/>
      <c r="DD129" s="141"/>
      <c r="DE129" s="141"/>
      <c r="DF129" s="141"/>
      <c r="DG129" s="141"/>
      <c r="DH129" s="141"/>
      <c r="DI129" s="141"/>
      <c r="DJ129" s="141"/>
      <c r="DK129" s="141"/>
      <c r="DL129" s="141"/>
      <c r="DM129" s="141"/>
      <c r="DN129" s="141"/>
      <c r="DO129" s="141"/>
      <c r="DP129" s="141"/>
      <c r="DQ129" s="141"/>
      <c r="DR129" s="141"/>
      <c r="DS129" s="141"/>
      <c r="DT129" s="141"/>
      <c r="DU129" s="141"/>
      <c r="DV129" s="141"/>
      <c r="DW129" s="141"/>
      <c r="DX129" s="141"/>
      <c r="DY129" s="141"/>
      <c r="DZ129" s="141"/>
      <c r="EA129" s="141"/>
      <c r="EB129" s="141"/>
      <c r="EC129" s="141"/>
      <c r="ED129" s="141"/>
      <c r="EE129" s="141"/>
      <c r="EF129" s="141"/>
      <c r="EG129" s="141"/>
      <c r="EH129" s="141"/>
      <c r="EI129" s="141"/>
      <c r="EJ129" s="141"/>
      <c r="EK129" s="141"/>
      <c r="EL129" s="141"/>
      <c r="EM129" s="141"/>
      <c r="EN129" s="141"/>
      <c r="EO129" s="141"/>
      <c r="EP129" s="141"/>
      <c r="EQ129" s="141"/>
      <c r="ER129" s="141"/>
      <c r="ES129" s="141"/>
      <c r="ET129" s="141"/>
      <c r="EU129" s="141"/>
      <c r="EV129" s="141"/>
      <c r="EW129" s="141"/>
      <c r="EX129" s="141"/>
      <c r="EY129" s="141"/>
      <c r="EZ129" s="141"/>
      <c r="FA129" s="141"/>
      <c r="FB129" s="141"/>
      <c r="FC129" s="141"/>
      <c r="FD129" s="141"/>
      <c r="FE129" s="141"/>
      <c r="FF129" s="141"/>
      <c r="FG129" s="141"/>
      <c r="FH129" s="141"/>
      <c r="FI129" s="141"/>
      <c r="FJ129" s="141"/>
      <c r="FK129" s="141"/>
      <c r="FL129" s="141"/>
      <c r="FM129" s="141"/>
      <c r="FN129" s="141"/>
      <c r="FO129" s="141"/>
      <c r="FP129" s="141"/>
      <c r="FQ129" s="141"/>
    </row>
    <row r="130" spans="1:173" ht="52">
      <c r="A130" s="21"/>
      <c r="B130" s="21"/>
      <c r="C130" s="32"/>
      <c r="D130" s="21"/>
      <c r="E130" s="69" t="s">
        <v>407</v>
      </c>
      <c r="F130" s="69" t="s">
        <v>406</v>
      </c>
      <c r="G130" s="69"/>
      <c r="H130" s="29">
        <v>45964</v>
      </c>
      <c r="I130" s="29"/>
      <c r="J130" s="29"/>
      <c r="K130" s="26"/>
      <c r="L130" s="47" t="s">
        <v>39</v>
      </c>
      <c r="M130" s="26" t="s">
        <v>38</v>
      </c>
      <c r="N130" s="25"/>
      <c r="O130" s="68" t="s">
        <v>69</v>
      </c>
      <c r="P130" s="23" t="s">
        <v>12</v>
      </c>
      <c r="Q130" s="23" t="s">
        <v>151</v>
      </c>
      <c r="R130" s="23"/>
      <c r="S130" s="23"/>
      <c r="T130" s="23"/>
      <c r="U130" s="23"/>
      <c r="V130" s="23"/>
      <c r="W130" s="23"/>
      <c r="X130" s="21" t="s">
        <v>5</v>
      </c>
      <c r="Y130" s="21"/>
      <c r="Z130" s="23"/>
      <c r="AA130" s="22">
        <v>3</v>
      </c>
      <c r="AB130" s="22">
        <v>5</v>
      </c>
      <c r="AC130" s="22">
        <v>3</v>
      </c>
      <c r="AD130" s="22">
        <v>5</v>
      </c>
      <c r="AE130" s="22">
        <v>3</v>
      </c>
      <c r="AF130" s="22">
        <v>3</v>
      </c>
      <c r="AG130" s="22">
        <v>3</v>
      </c>
      <c r="AH130" s="70">
        <f>(AA130*$AA$2)+(AB130*$AB$2)+(AC130*$AC$2)+(AD130*$AD$2)+(AE130*$AE$2)+(AF130*$AF$2)+(AG130*$AG$2)</f>
        <v>375</v>
      </c>
      <c r="AI130" s="22">
        <v>5</v>
      </c>
      <c r="AJ130" s="22">
        <v>3</v>
      </c>
      <c r="AK130" s="22">
        <v>1</v>
      </c>
      <c r="AL130" s="22">
        <v>4</v>
      </c>
      <c r="AM130" s="22">
        <v>3</v>
      </c>
      <c r="AN130" s="22">
        <v>2</v>
      </c>
      <c r="AO130" s="22">
        <v>3</v>
      </c>
      <c r="AP130" s="21">
        <f>(AI130*$AI$2)+(AJ130*$AJ$2)+(AK130*$AK$2)+(AL130*$AL$2)+(AM130*$AM$2)+(AN130*$AN$2)+(AO130*$AO$2)</f>
        <v>315</v>
      </c>
      <c r="AQ130" s="21">
        <f>AP130+AH130</f>
        <v>690</v>
      </c>
      <c r="AR130" s="20"/>
      <c r="AS130" s="20"/>
      <c r="AT130" s="18"/>
      <c r="AU130" s="17"/>
      <c r="AV130" s="17"/>
      <c r="AW130" s="17"/>
      <c r="AX130" s="17"/>
      <c r="AY130" s="17"/>
      <c r="AZ130" s="17"/>
      <c r="BA130" s="17"/>
      <c r="BB130" s="17"/>
      <c r="BC130" s="17"/>
      <c r="BD130" s="17"/>
      <c r="BE130" s="17"/>
      <c r="BF130" s="17"/>
      <c r="BG130" s="16" t="s">
        <v>0</v>
      </c>
      <c r="BH130" s="48"/>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row>
    <row r="131" spans="1:173" s="11" customFormat="1" ht="46" customHeight="1">
      <c r="A131" s="21"/>
      <c r="B131" s="21"/>
      <c r="C131" s="32"/>
      <c r="D131" s="21"/>
      <c r="E131" s="69" t="s">
        <v>405</v>
      </c>
      <c r="F131" s="69" t="s">
        <v>404</v>
      </c>
      <c r="G131" s="69"/>
      <c r="H131" s="29">
        <v>45964</v>
      </c>
      <c r="I131" s="29"/>
      <c r="J131" s="29"/>
      <c r="K131" s="76"/>
      <c r="L131" s="47" t="s">
        <v>39</v>
      </c>
      <c r="M131" s="26" t="s">
        <v>74</v>
      </c>
      <c r="N131" s="25"/>
      <c r="O131" s="68" t="s">
        <v>32</v>
      </c>
      <c r="P131" s="23" t="s">
        <v>12</v>
      </c>
      <c r="Q131" s="23" t="s">
        <v>44</v>
      </c>
      <c r="R131" s="23"/>
      <c r="S131" s="23"/>
      <c r="T131" s="23"/>
      <c r="U131" s="23"/>
      <c r="V131" s="23"/>
      <c r="W131" s="23"/>
      <c r="X131" s="21" t="s">
        <v>5</v>
      </c>
      <c r="Y131" s="21"/>
      <c r="Z131" s="23"/>
      <c r="AA131" s="22">
        <v>3</v>
      </c>
      <c r="AB131" s="22">
        <v>1</v>
      </c>
      <c r="AC131" s="22">
        <v>3</v>
      </c>
      <c r="AD131" s="22">
        <v>5</v>
      </c>
      <c r="AE131" s="22">
        <v>1</v>
      </c>
      <c r="AF131" s="22">
        <v>1</v>
      </c>
      <c r="AG131" s="22">
        <v>5</v>
      </c>
      <c r="AH131" s="22">
        <f>(AA131*$AA$2)+(AB131*$AB$2)+(AC131*$AC$2)+(AD131*$AD$2)+(AE131*$AE$2)+(AF131*$AF$2)+(AG131*$AG$2)</f>
        <v>285</v>
      </c>
      <c r="AI131" s="22">
        <v>5</v>
      </c>
      <c r="AJ131" s="22">
        <v>5</v>
      </c>
      <c r="AK131" s="22">
        <v>3</v>
      </c>
      <c r="AL131" s="22">
        <v>5</v>
      </c>
      <c r="AM131" s="22">
        <v>3</v>
      </c>
      <c r="AN131" s="22">
        <v>3</v>
      </c>
      <c r="AO131" s="22">
        <v>3</v>
      </c>
      <c r="AP131" s="21">
        <f>(AI131*$AI$2)+(AJ131*$AJ$2)+(AK131*$AK$2)+(AL131*$AL$2)+(AM131*$AM$2)+(AN131*$AN$2)+(AO131*$AO$2)</f>
        <v>405</v>
      </c>
      <c r="AQ131" s="21">
        <f>AP131+AH131</f>
        <v>690</v>
      </c>
      <c r="AR131" s="20" t="s">
        <v>403</v>
      </c>
      <c r="AS131" s="20" t="s">
        <v>402</v>
      </c>
      <c r="AT131" s="18"/>
      <c r="AU131" s="17"/>
      <c r="AV131" s="17"/>
      <c r="AW131" s="17"/>
      <c r="AX131" s="17"/>
      <c r="AY131" s="17"/>
      <c r="AZ131" s="17"/>
      <c r="BA131" s="17"/>
      <c r="BB131" s="17"/>
      <c r="BC131" s="17"/>
      <c r="BD131" s="17"/>
      <c r="BE131" s="17"/>
      <c r="BF131" s="17"/>
      <c r="BG131" s="16" t="s">
        <v>0</v>
      </c>
      <c r="BH131" s="48"/>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row>
    <row r="132" spans="1:173" s="11" customFormat="1" ht="34.5" customHeight="1">
      <c r="A132" s="25"/>
      <c r="B132" s="25">
        <v>27</v>
      </c>
      <c r="C132" s="139" t="s">
        <v>401</v>
      </c>
      <c r="D132" s="25"/>
      <c r="E132" s="69" t="s">
        <v>400</v>
      </c>
      <c r="F132" s="69" t="s">
        <v>399</v>
      </c>
      <c r="G132" s="69" t="s">
        <v>398</v>
      </c>
      <c r="H132" s="119">
        <v>45780</v>
      </c>
      <c r="I132" s="73">
        <v>45812</v>
      </c>
      <c r="J132" s="73">
        <v>45992</v>
      </c>
      <c r="K132" s="138">
        <f>J132-I132</f>
        <v>180</v>
      </c>
      <c r="L132" s="118" t="s">
        <v>14</v>
      </c>
      <c r="M132" s="26" t="s">
        <v>74</v>
      </c>
      <c r="N132" s="26" t="s">
        <v>59</v>
      </c>
      <c r="O132" s="67" t="s">
        <v>45</v>
      </c>
      <c r="P132" s="67" t="s">
        <v>33</v>
      </c>
      <c r="Q132" s="125" t="s">
        <v>397</v>
      </c>
      <c r="R132" s="67" t="s">
        <v>8</v>
      </c>
      <c r="S132" s="67" t="s">
        <v>210</v>
      </c>
      <c r="T132" s="67" t="s">
        <v>396</v>
      </c>
      <c r="U132" s="67" t="s">
        <v>341</v>
      </c>
      <c r="V132" s="67" t="s">
        <v>66</v>
      </c>
      <c r="W132" s="26" t="s">
        <v>340</v>
      </c>
      <c r="X132" s="21" t="s">
        <v>5</v>
      </c>
      <c r="Y132" s="25" t="s">
        <v>4</v>
      </c>
      <c r="Z132" s="26" t="s">
        <v>18</v>
      </c>
      <c r="AA132" s="25">
        <v>5</v>
      </c>
      <c r="AB132" s="25">
        <v>5</v>
      </c>
      <c r="AC132" s="25">
        <v>5</v>
      </c>
      <c r="AD132" s="25">
        <v>5</v>
      </c>
      <c r="AE132" s="25">
        <v>1</v>
      </c>
      <c r="AF132" s="25">
        <v>3</v>
      </c>
      <c r="AG132" s="25">
        <v>3</v>
      </c>
      <c r="AH132" s="26">
        <f>(AA132*$AC$2)+(AB132*$AD$2)+(AC132*$AE$2)+(AD132*$AF$2)+(AE132*$AG$2)+(AF132*$AH$2)+(AG132*$AI$2)</f>
        <v>360</v>
      </c>
      <c r="AI132" s="25">
        <v>4</v>
      </c>
      <c r="AJ132" s="25">
        <v>4</v>
      </c>
      <c r="AK132" s="25">
        <v>2</v>
      </c>
      <c r="AL132" s="25">
        <v>3</v>
      </c>
      <c r="AM132" s="25">
        <v>5</v>
      </c>
      <c r="AN132" s="25">
        <v>1</v>
      </c>
      <c r="AO132" s="25">
        <v>1</v>
      </c>
      <c r="AP132" s="25">
        <f>(AI132*$AK$2)+(AJ132*$AL$2)+(AK132*$AM$2)+(AL132*$AN$2)+(AM132*$AO$2)+(AN132*$AP$2)+(AO132*$AQ$2)</f>
        <v>270</v>
      </c>
      <c r="AQ132" s="25">
        <f>AP132+AH132</f>
        <v>630</v>
      </c>
      <c r="AR132" s="137" t="s">
        <v>395</v>
      </c>
      <c r="AS132" s="137"/>
      <c r="AT132" s="116" t="s">
        <v>394</v>
      </c>
      <c r="AU132" s="26"/>
      <c r="AV132" s="23" t="s">
        <v>393</v>
      </c>
      <c r="AW132" s="136">
        <v>22800</v>
      </c>
      <c r="AX132" s="26"/>
      <c r="AY132" s="26"/>
      <c r="AZ132" s="26">
        <v>0</v>
      </c>
      <c r="BA132" s="26">
        <v>0</v>
      </c>
      <c r="BB132" s="26">
        <v>0</v>
      </c>
      <c r="BC132" s="26"/>
      <c r="BD132" s="52">
        <f>SUM(AX132:BC132)</f>
        <v>0</v>
      </c>
      <c r="BE132" s="26"/>
      <c r="BF132" s="26"/>
      <c r="BG132" s="125" t="s">
        <v>192</v>
      </c>
      <c r="BH132" s="115"/>
      <c r="BI132" s="114"/>
      <c r="BJ132" s="114"/>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row>
    <row r="133" spans="1:173" ht="51.5" customHeight="1">
      <c r="A133" s="21"/>
      <c r="B133" s="21">
        <v>1</v>
      </c>
      <c r="C133" s="21"/>
      <c r="D133" s="67">
        <v>34795</v>
      </c>
      <c r="E133" s="69" t="s">
        <v>392</v>
      </c>
      <c r="F133" s="69" t="s">
        <v>391</v>
      </c>
      <c r="G133" s="69" t="s">
        <v>390</v>
      </c>
      <c r="H133" s="29">
        <v>45833</v>
      </c>
      <c r="I133" s="135">
        <v>45826</v>
      </c>
      <c r="J133" s="99">
        <v>46023</v>
      </c>
      <c r="K133" s="17">
        <f ca="1">TODAY()-I133</f>
        <v>180</v>
      </c>
      <c r="L133" s="72" t="s">
        <v>389</v>
      </c>
      <c r="M133" s="26" t="s">
        <v>60</v>
      </c>
      <c r="N133" s="26" t="s">
        <v>59</v>
      </c>
      <c r="O133" s="133" t="s">
        <v>69</v>
      </c>
      <c r="P133" s="23" t="s">
        <v>33</v>
      </c>
      <c r="Q133" s="21" t="s">
        <v>388</v>
      </c>
      <c r="R133" s="21" t="s">
        <v>8</v>
      </c>
      <c r="S133" s="134" t="s">
        <v>387</v>
      </c>
      <c r="T133" s="133" t="s">
        <v>386</v>
      </c>
      <c r="U133" s="22" t="s">
        <v>385</v>
      </c>
      <c r="V133" s="22" t="s">
        <v>99</v>
      </c>
      <c r="W133" s="22" t="s">
        <v>286</v>
      </c>
      <c r="X133" s="21" t="s">
        <v>5</v>
      </c>
      <c r="Y133" s="21" t="s">
        <v>4</v>
      </c>
      <c r="Z133" s="22" t="s">
        <v>147</v>
      </c>
      <c r="AA133" s="21">
        <v>5</v>
      </c>
      <c r="AB133" s="21">
        <v>5</v>
      </c>
      <c r="AC133" s="21">
        <v>5</v>
      </c>
      <c r="AD133" s="21">
        <v>5</v>
      </c>
      <c r="AE133" s="21">
        <v>5</v>
      </c>
      <c r="AF133" s="21">
        <v>3</v>
      </c>
      <c r="AG133" s="21">
        <v>5</v>
      </c>
      <c r="AH133" s="22">
        <f>(AA133*$AA$2)+(AB133*$AB$2)+(AC133*$AC$2)+(AD133*$AD$2)+(AE133*$AE$2)+(AF133*$AF$2)+(AG133*$AG$2)</f>
        <v>495</v>
      </c>
      <c r="AI133" s="21">
        <v>5</v>
      </c>
      <c r="AJ133" s="21">
        <v>5</v>
      </c>
      <c r="AK133" s="21">
        <v>2</v>
      </c>
      <c r="AL133" s="21">
        <v>5</v>
      </c>
      <c r="AM133" s="21">
        <v>5</v>
      </c>
      <c r="AN133" s="21">
        <v>1</v>
      </c>
      <c r="AO133" s="21">
        <v>5</v>
      </c>
      <c r="AP133" s="21">
        <f>(AI133*$AI$2)+(AJ133*$AJ$2)+(AK133*$AK$2)+(AL133*$AL$2)+(AM133*$AM$2)+(AN133*$AN$2)+(AO133*$AO$2)</f>
        <v>420</v>
      </c>
      <c r="AQ133" s="21">
        <f>AP133+AH133</f>
        <v>915</v>
      </c>
      <c r="AR133" s="132" t="s">
        <v>384</v>
      </c>
      <c r="AS133" s="88" t="s">
        <v>383</v>
      </c>
      <c r="AT133" s="18" t="s">
        <v>166</v>
      </c>
      <c r="AU133" s="21"/>
      <c r="AV133" s="23" t="s">
        <v>374</v>
      </c>
      <c r="AW133" s="21"/>
      <c r="AX133" s="21"/>
      <c r="AY133" s="21"/>
      <c r="AZ133" s="21"/>
      <c r="BA133" s="21"/>
      <c r="BB133" s="21"/>
      <c r="BC133" s="21"/>
      <c r="BD133" s="52">
        <f>SUM(AX133:BC133)</f>
        <v>0</v>
      </c>
      <c r="BE133" s="131"/>
      <c r="BF133" s="21"/>
      <c r="BG133" s="16" t="s">
        <v>192</v>
      </c>
      <c r="BH133" s="51"/>
      <c r="BI133" s="50"/>
      <c r="BJ133" s="50"/>
      <c r="BK133" s="109"/>
      <c r="BL133" s="109"/>
      <c r="BM133" s="109"/>
      <c r="BN133" s="109"/>
      <c r="BO133" s="109"/>
      <c r="BP133" s="109"/>
      <c r="BQ133" s="109"/>
      <c r="BR133" s="109"/>
      <c r="BS133" s="109"/>
      <c r="BT133" s="109"/>
      <c r="BU133" s="109"/>
      <c r="BV133" s="109"/>
      <c r="BW133" s="109"/>
      <c r="BX133" s="109"/>
      <c r="BY133" s="109"/>
      <c r="BZ133" s="109"/>
      <c r="CA133" s="109"/>
      <c r="CB133" s="109"/>
      <c r="CC133" s="109"/>
      <c r="CD133" s="109"/>
      <c r="CE133" s="109"/>
      <c r="CF133" s="109"/>
      <c r="CG133" s="109"/>
      <c r="CH133" s="109"/>
      <c r="CI133" s="109"/>
      <c r="CJ133" s="109"/>
      <c r="CK133" s="109"/>
      <c r="CL133" s="109"/>
      <c r="CM133" s="109"/>
      <c r="CN133" s="109"/>
      <c r="CO133" s="109"/>
      <c r="CP133" s="109"/>
      <c r="CQ133" s="109"/>
      <c r="CR133" s="109"/>
      <c r="CS133" s="109"/>
      <c r="CT133" s="109"/>
      <c r="CU133" s="109"/>
      <c r="CV133" s="109"/>
      <c r="CW133" s="109"/>
      <c r="CX133" s="109"/>
      <c r="CY133" s="109"/>
      <c r="CZ133" s="109"/>
      <c r="DA133" s="109"/>
      <c r="DB133" s="109"/>
      <c r="DC133" s="109"/>
      <c r="DD133" s="109"/>
      <c r="DE133" s="109"/>
      <c r="DF133" s="109"/>
      <c r="DG133" s="109"/>
      <c r="DH133" s="109"/>
      <c r="DI133" s="109"/>
      <c r="DJ133" s="109"/>
      <c r="DK133" s="109"/>
      <c r="DL133" s="109"/>
      <c r="DM133" s="109"/>
      <c r="DN133" s="109"/>
      <c r="DO133" s="109"/>
      <c r="DP133" s="109"/>
      <c r="DQ133" s="109"/>
      <c r="DR133" s="109"/>
      <c r="DS133" s="109"/>
      <c r="DT133" s="109"/>
      <c r="DU133" s="109"/>
      <c r="DV133" s="109"/>
      <c r="DW133" s="109"/>
      <c r="DX133" s="109"/>
      <c r="DY133" s="109"/>
      <c r="DZ133" s="109"/>
      <c r="EA133" s="109"/>
      <c r="EB133" s="109"/>
      <c r="EC133" s="109"/>
      <c r="ED133" s="109"/>
      <c r="EE133" s="109"/>
      <c r="EF133" s="109"/>
      <c r="EG133" s="109"/>
      <c r="EH133" s="109"/>
      <c r="EI133" s="109"/>
      <c r="EJ133" s="109"/>
      <c r="EK133" s="109"/>
      <c r="EL133" s="109"/>
      <c r="EM133" s="109"/>
      <c r="EN133" s="109"/>
      <c r="EO133" s="109"/>
      <c r="EP133" s="109"/>
      <c r="EQ133" s="109"/>
      <c r="ER133" s="109"/>
      <c r="ES133" s="109"/>
      <c r="ET133" s="109"/>
      <c r="EU133" s="109"/>
      <c r="EV133" s="109"/>
      <c r="EW133" s="109"/>
      <c r="EX133" s="109"/>
      <c r="EY133" s="109"/>
      <c r="EZ133" s="109"/>
      <c r="FA133" s="109"/>
      <c r="FB133" s="109"/>
      <c r="FC133" s="109"/>
      <c r="FD133" s="109"/>
      <c r="FE133" s="109"/>
      <c r="FF133" s="109"/>
      <c r="FG133" s="109"/>
      <c r="FH133" s="109"/>
      <c r="FI133" s="109"/>
      <c r="FJ133" s="109"/>
      <c r="FK133" s="109"/>
      <c r="FL133" s="109"/>
      <c r="FM133" s="109"/>
      <c r="FN133" s="109"/>
      <c r="FO133" s="109"/>
      <c r="FP133" s="109"/>
      <c r="FQ133" s="109"/>
    </row>
    <row r="134" spans="1:173" ht="58.5" customHeight="1">
      <c r="A134" s="21"/>
      <c r="B134" s="21"/>
      <c r="C134" s="21"/>
      <c r="D134" s="21"/>
      <c r="E134" s="69" t="s">
        <v>382</v>
      </c>
      <c r="F134" s="69" t="s">
        <v>381</v>
      </c>
      <c r="G134" s="69" t="s">
        <v>380</v>
      </c>
      <c r="H134" s="29">
        <v>45901</v>
      </c>
      <c r="I134" s="73">
        <v>45909</v>
      </c>
      <c r="J134" s="73">
        <v>45923</v>
      </c>
      <c r="K134" s="130">
        <f>J134-I134</f>
        <v>14</v>
      </c>
      <c r="L134" s="47" t="s">
        <v>14</v>
      </c>
      <c r="M134" s="67" t="s">
        <v>38</v>
      </c>
      <c r="N134" s="25" t="s">
        <v>379</v>
      </c>
      <c r="O134" s="23" t="s">
        <v>32</v>
      </c>
      <c r="P134" s="23" t="s">
        <v>58</v>
      </c>
      <c r="Q134" s="23" t="s">
        <v>44</v>
      </c>
      <c r="R134" s="23" t="s">
        <v>273</v>
      </c>
      <c r="S134" s="23" t="s">
        <v>378</v>
      </c>
      <c r="T134" s="23" t="s">
        <v>377</v>
      </c>
      <c r="U134" s="23" t="s">
        <v>8</v>
      </c>
      <c r="V134" s="23" t="s">
        <v>66</v>
      </c>
      <c r="W134" s="23" t="s">
        <v>264</v>
      </c>
      <c r="X134" s="21" t="s">
        <v>5</v>
      </c>
      <c r="Y134" s="21" t="s">
        <v>4</v>
      </c>
      <c r="Z134" s="23" t="s">
        <v>18</v>
      </c>
      <c r="AA134" s="21">
        <v>3</v>
      </c>
      <c r="AB134" s="21">
        <v>5</v>
      </c>
      <c r="AC134" s="21">
        <v>1</v>
      </c>
      <c r="AD134" s="21">
        <v>5</v>
      </c>
      <c r="AE134" s="21">
        <v>1</v>
      </c>
      <c r="AF134" s="21">
        <v>3</v>
      </c>
      <c r="AG134" s="21">
        <v>3</v>
      </c>
      <c r="AH134" s="22">
        <f>(AA134*$AA$2)+(AB134*$AB$2)+(AC134*$AC$2)+(AD134*$AD$2)+(AE134*$AE$2)+(AF134*$AF$2)+(AG134*$AG$2)</f>
        <v>315</v>
      </c>
      <c r="AI134" s="21">
        <v>5</v>
      </c>
      <c r="AJ134" s="21">
        <v>5</v>
      </c>
      <c r="AK134" s="21">
        <v>5</v>
      </c>
      <c r="AL134" s="21">
        <v>5</v>
      </c>
      <c r="AM134" s="21">
        <v>5</v>
      </c>
      <c r="AN134" s="21">
        <v>5</v>
      </c>
      <c r="AO134" s="21">
        <v>5</v>
      </c>
      <c r="AP134" s="21">
        <f>(AI134*$AI$2)+(AJ134*$AJ$2)+(AK134*$AK$2)+(AL134*$AL$2)+(AM134*$AM$2)+(AN134*$AN$2)+(AO134*$AO$2)</f>
        <v>525</v>
      </c>
      <c r="AQ134" s="21">
        <f>AP134+AH134</f>
        <v>840</v>
      </c>
      <c r="AR134" s="80" t="s">
        <v>376</v>
      </c>
      <c r="AS134" s="80"/>
      <c r="AT134" s="129" t="s">
        <v>375</v>
      </c>
      <c r="AU134" s="21"/>
      <c r="AV134" s="17" t="s">
        <v>374</v>
      </c>
      <c r="AW134" s="80" t="s">
        <v>373</v>
      </c>
      <c r="AX134" s="80"/>
      <c r="AY134" s="80"/>
      <c r="AZ134" s="80"/>
      <c r="BA134" s="80"/>
      <c r="BB134" s="80"/>
      <c r="BC134" s="80"/>
      <c r="BD134" s="52">
        <f>SUM(AX134:BC134)</f>
        <v>0</v>
      </c>
      <c r="BE134" s="80" t="s">
        <v>372</v>
      </c>
      <c r="BF134" s="80"/>
      <c r="BG134" s="16" t="s">
        <v>58</v>
      </c>
      <c r="BH134" s="51"/>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row>
    <row r="135" spans="1:173" ht="26">
      <c r="A135" s="21"/>
      <c r="B135" s="21"/>
      <c r="C135" s="32"/>
      <c r="D135" s="21"/>
      <c r="E135" s="69" t="s">
        <v>371</v>
      </c>
      <c r="F135" s="69" t="s">
        <v>370</v>
      </c>
      <c r="G135" s="69"/>
      <c r="H135" s="29">
        <v>45964</v>
      </c>
      <c r="I135" s="29"/>
      <c r="J135" s="29"/>
      <c r="K135" s="54"/>
      <c r="L135" s="47" t="s">
        <v>39</v>
      </c>
      <c r="M135" s="26" t="s">
        <v>6</v>
      </c>
      <c r="N135" s="25" t="s">
        <v>59</v>
      </c>
      <c r="O135" s="23" t="s">
        <v>69</v>
      </c>
      <c r="P135" s="23" t="s">
        <v>23</v>
      </c>
      <c r="Q135" s="23" t="s">
        <v>44</v>
      </c>
      <c r="R135" s="23" t="s">
        <v>19</v>
      </c>
      <c r="S135" s="23" t="s">
        <v>222</v>
      </c>
      <c r="T135" s="23" t="s">
        <v>222</v>
      </c>
      <c r="U135" s="23" t="s">
        <v>369</v>
      </c>
      <c r="V135" s="23" t="s">
        <v>7</v>
      </c>
      <c r="W135" s="23" t="s">
        <v>368</v>
      </c>
      <c r="X135" s="21" t="s">
        <v>5</v>
      </c>
      <c r="Y135" s="21" t="s">
        <v>126</v>
      </c>
      <c r="Z135" s="23" t="s">
        <v>6</v>
      </c>
      <c r="AA135" s="22">
        <v>4</v>
      </c>
      <c r="AB135" s="22">
        <v>5</v>
      </c>
      <c r="AC135" s="22">
        <v>1</v>
      </c>
      <c r="AD135" s="22">
        <v>5</v>
      </c>
      <c r="AE135" s="22">
        <v>0</v>
      </c>
      <c r="AF135" s="22">
        <v>3</v>
      </c>
      <c r="AG135" s="22">
        <v>3</v>
      </c>
      <c r="AH135" s="22">
        <f>(AA135*$AA$2)+(AB135*$AB$2)+(AC135*$AC$2)+(AD135*$AD$2)+(AE135*$AE$2)+(AF135*$AF$2)+(AG135*$AG$2)</f>
        <v>315</v>
      </c>
      <c r="AI135" s="22">
        <v>5</v>
      </c>
      <c r="AJ135" s="22">
        <v>5</v>
      </c>
      <c r="AK135" s="22">
        <v>2</v>
      </c>
      <c r="AL135" s="22">
        <v>3</v>
      </c>
      <c r="AM135" s="22">
        <v>3</v>
      </c>
      <c r="AN135" s="22">
        <v>3</v>
      </c>
      <c r="AO135" s="22">
        <v>3</v>
      </c>
      <c r="AP135" s="21">
        <f>(AI135*$AI$2)+(AJ135*$AJ$2)+(AK135*$AK$2)+(AL135*$AL$2)+(AM135*$AM$2)+(AN135*$AN$2)+(AO135*$AO$2)</f>
        <v>360</v>
      </c>
      <c r="AQ135" s="21">
        <f>AP135+AH135</f>
        <v>675</v>
      </c>
      <c r="AR135" s="20" t="s">
        <v>367</v>
      </c>
      <c r="AS135" s="20"/>
      <c r="AT135" s="18"/>
      <c r="AU135" s="17"/>
      <c r="AV135" s="17"/>
      <c r="AW135" s="17"/>
      <c r="AX135" s="17"/>
      <c r="AY135" s="17"/>
      <c r="AZ135" s="17"/>
      <c r="BA135" s="17"/>
      <c r="BB135" s="17"/>
      <c r="BC135" s="17"/>
      <c r="BD135" s="17"/>
      <c r="BE135" s="17"/>
      <c r="BF135" s="17"/>
      <c r="BG135" s="16" t="s">
        <v>0</v>
      </c>
      <c r="BH135" s="48"/>
    </row>
    <row r="136" spans="1:173" ht="104">
      <c r="A136" s="16"/>
      <c r="B136" s="16">
        <v>106</v>
      </c>
      <c r="C136" s="16"/>
      <c r="D136" s="16"/>
      <c r="E136" s="69" t="s">
        <v>366</v>
      </c>
      <c r="F136" s="69" t="s">
        <v>365</v>
      </c>
      <c r="G136" s="69" t="s">
        <v>364</v>
      </c>
      <c r="H136" s="128">
        <v>45962</v>
      </c>
      <c r="I136" s="128"/>
      <c r="J136" s="127"/>
      <c r="K136" s="127"/>
      <c r="L136" s="126" t="s">
        <v>39</v>
      </c>
      <c r="M136" s="125" t="s">
        <v>6</v>
      </c>
      <c r="N136" s="125"/>
      <c r="O136" s="70" t="s">
        <v>50</v>
      </c>
      <c r="P136" s="70" t="s">
        <v>12</v>
      </c>
      <c r="Q136" s="70" t="s">
        <v>11</v>
      </c>
      <c r="R136" s="124"/>
      <c r="S136" s="70" t="s">
        <v>222</v>
      </c>
      <c r="T136" s="70" t="s">
        <v>363</v>
      </c>
      <c r="U136" s="70" t="s">
        <v>221</v>
      </c>
      <c r="V136" s="70" t="s">
        <v>7</v>
      </c>
      <c r="W136" s="70" t="s">
        <v>6</v>
      </c>
      <c r="X136" s="16" t="s">
        <v>5</v>
      </c>
      <c r="Y136" s="16" t="s">
        <v>42</v>
      </c>
      <c r="Z136" s="71" t="s">
        <v>3</v>
      </c>
      <c r="AA136" s="16">
        <v>4</v>
      </c>
      <c r="AB136" s="16">
        <v>5</v>
      </c>
      <c r="AC136" s="16">
        <v>2</v>
      </c>
      <c r="AD136" s="16">
        <v>5</v>
      </c>
      <c r="AE136" s="16">
        <v>1</v>
      </c>
      <c r="AF136" s="16">
        <v>5</v>
      </c>
      <c r="AG136" s="16">
        <v>3</v>
      </c>
      <c r="AH136" s="71">
        <f>(AA136*$AA$2)+(AB136*$AB$2)+(AC136*$AC$2)+(AD136*$AD$2)+(AE136*$AE$2)+(AF136*$AF$2)+(AG136*$AG$2)</f>
        <v>375</v>
      </c>
      <c r="AI136" s="16">
        <v>3</v>
      </c>
      <c r="AJ136" s="16">
        <v>3</v>
      </c>
      <c r="AK136" s="16">
        <v>2</v>
      </c>
      <c r="AL136" s="16">
        <v>3</v>
      </c>
      <c r="AM136" s="16">
        <v>3</v>
      </c>
      <c r="AN136" s="16">
        <v>3</v>
      </c>
      <c r="AO136" s="16">
        <v>3</v>
      </c>
      <c r="AP136" s="16">
        <f>(AI136*$AI$2)+(AJ136*$AJ$2)+(AK136*$AK$2)+(AL136*$AL$2)+(AM136*$AM$2)+(AN136*$AN$2)+(AO136*$AO$2)</f>
        <v>300</v>
      </c>
      <c r="AQ136" s="21">
        <f>AP136+AH136</f>
        <v>675</v>
      </c>
      <c r="AR136" s="123" t="s">
        <v>362</v>
      </c>
      <c r="AS136" s="123" t="s">
        <v>361</v>
      </c>
      <c r="AT136" s="122"/>
      <c r="AU136" s="120"/>
      <c r="AV136" s="120" t="s">
        <v>360</v>
      </c>
      <c r="AW136" s="120"/>
      <c r="AX136" s="17"/>
      <c r="AY136" s="17"/>
      <c r="AZ136" s="17"/>
      <c r="BA136" s="17"/>
      <c r="BB136" s="17"/>
      <c r="BC136" s="17"/>
      <c r="BD136" s="121">
        <f>SUM(AX136:BC136)</f>
        <v>0</v>
      </c>
      <c r="BE136" s="120"/>
      <c r="BF136" s="120"/>
      <c r="BG136" s="16" t="s">
        <v>192</v>
      </c>
      <c r="BH136" s="48"/>
    </row>
    <row r="137" spans="1:173" ht="65">
      <c r="A137" s="21"/>
      <c r="B137" s="21">
        <v>110</v>
      </c>
      <c r="C137" s="97"/>
      <c r="D137" s="21"/>
      <c r="E137" s="69" t="s">
        <v>359</v>
      </c>
      <c r="F137" s="69" t="s">
        <v>358</v>
      </c>
      <c r="G137" s="69"/>
      <c r="H137" s="29">
        <v>45962</v>
      </c>
      <c r="I137" s="29"/>
      <c r="J137" s="55"/>
      <c r="K137" s="54"/>
      <c r="L137" s="47" t="s">
        <v>39</v>
      </c>
      <c r="M137" s="25" t="s">
        <v>6</v>
      </c>
      <c r="N137" s="25"/>
      <c r="O137" s="23" t="s">
        <v>32</v>
      </c>
      <c r="P137" s="23" t="s">
        <v>12</v>
      </c>
      <c r="Q137" s="23" t="s">
        <v>11</v>
      </c>
      <c r="R137" s="23"/>
      <c r="S137" s="23" t="s">
        <v>222</v>
      </c>
      <c r="T137" s="23" t="s">
        <v>10</v>
      </c>
      <c r="U137" s="23"/>
      <c r="V137" s="23" t="s">
        <v>7</v>
      </c>
      <c r="W137" s="23" t="s">
        <v>6</v>
      </c>
      <c r="X137" s="21" t="s">
        <v>5</v>
      </c>
      <c r="Y137" s="21" t="s">
        <v>126</v>
      </c>
      <c r="Z137" s="23" t="s">
        <v>3</v>
      </c>
      <c r="AA137" s="21">
        <v>4</v>
      </c>
      <c r="AB137" s="21">
        <v>5</v>
      </c>
      <c r="AC137" s="21">
        <v>1</v>
      </c>
      <c r="AD137" s="21">
        <v>5</v>
      </c>
      <c r="AE137" s="21">
        <v>0</v>
      </c>
      <c r="AF137" s="21">
        <v>1</v>
      </c>
      <c r="AG137" s="21">
        <v>3</v>
      </c>
      <c r="AH137" s="22">
        <f>(AA137*$AA$2)+(AB137*$AB$2)+(AC137*$AC$2)+(AD137*$AD$2)+(AE137*$AE$2)+(AF137*$AF$2)+(AG137*$AG$2)</f>
        <v>285</v>
      </c>
      <c r="AI137" s="21">
        <v>5</v>
      </c>
      <c r="AJ137" s="21">
        <v>5</v>
      </c>
      <c r="AK137" s="21">
        <v>2</v>
      </c>
      <c r="AL137" s="21">
        <v>3</v>
      </c>
      <c r="AM137" s="21">
        <v>3</v>
      </c>
      <c r="AN137" s="21">
        <v>3</v>
      </c>
      <c r="AO137" s="21">
        <v>5</v>
      </c>
      <c r="AP137" s="21">
        <f>(AI137*$AI$2)+(AJ137*$AJ$2)+(AK137*$AK$2)+(AL137*$AL$2)+(AM137*$AM$2)+(AN137*$AN$2)+(AO137*$AO$2)</f>
        <v>390</v>
      </c>
      <c r="AQ137" s="21">
        <f>AP137+AH137</f>
        <v>675</v>
      </c>
      <c r="AR137" s="20" t="s">
        <v>357</v>
      </c>
      <c r="AS137" s="20" t="s">
        <v>356</v>
      </c>
      <c r="AT137" s="18"/>
      <c r="AU137" s="17"/>
      <c r="AV137" s="17" t="s">
        <v>355</v>
      </c>
      <c r="AW137" s="17"/>
      <c r="AX137" s="17"/>
      <c r="AY137" s="17"/>
      <c r="AZ137" s="17"/>
      <c r="BA137" s="17"/>
      <c r="BB137" s="17"/>
      <c r="BC137" s="17"/>
      <c r="BD137" s="52">
        <f>SUM(AX137:BC137)</f>
        <v>0</v>
      </c>
      <c r="BE137" s="17"/>
      <c r="BF137" s="17"/>
      <c r="BG137" s="16" t="s">
        <v>0</v>
      </c>
      <c r="BH137" s="48"/>
    </row>
    <row r="138" spans="1:173" s="48" customFormat="1" ht="66.5" customHeight="1">
      <c r="A138" s="21"/>
      <c r="B138" s="21"/>
      <c r="C138" s="32"/>
      <c r="D138" s="21"/>
      <c r="E138" s="69" t="s">
        <v>354</v>
      </c>
      <c r="F138" s="69" t="s">
        <v>353</v>
      </c>
      <c r="G138" s="69"/>
      <c r="H138" s="29">
        <v>45931</v>
      </c>
      <c r="I138" s="29"/>
      <c r="J138" s="29"/>
      <c r="K138" s="26"/>
      <c r="L138" s="47" t="s">
        <v>39</v>
      </c>
      <c r="M138" s="25" t="s">
        <v>74</v>
      </c>
      <c r="N138" s="25"/>
      <c r="O138" s="68" t="s">
        <v>69</v>
      </c>
      <c r="P138" s="23" t="s">
        <v>12</v>
      </c>
      <c r="Q138" s="23" t="s">
        <v>151</v>
      </c>
      <c r="R138" s="23"/>
      <c r="S138" s="23"/>
      <c r="T138" s="23"/>
      <c r="U138" s="23"/>
      <c r="V138" s="23"/>
      <c r="W138" s="23"/>
      <c r="X138" s="21" t="s">
        <v>5</v>
      </c>
      <c r="Y138" s="21"/>
      <c r="Z138" s="23"/>
      <c r="AA138" s="22">
        <v>4</v>
      </c>
      <c r="AB138" s="22">
        <v>5</v>
      </c>
      <c r="AC138" s="22">
        <v>1</v>
      </c>
      <c r="AD138" s="22">
        <v>5</v>
      </c>
      <c r="AE138" s="22">
        <v>1</v>
      </c>
      <c r="AF138" s="22">
        <v>3</v>
      </c>
      <c r="AG138" s="22">
        <v>5</v>
      </c>
      <c r="AH138" s="71">
        <f>(AA138*$AA$2)+(AB138*$AB$2)+(AC138*$AC$2)+(AD138*$AD$2)+(AE138*$AE$2)+(AF138*$AF$2)+(AG138*$AG$2)</f>
        <v>360</v>
      </c>
      <c r="AI138" s="22">
        <v>5</v>
      </c>
      <c r="AJ138" s="22">
        <v>3</v>
      </c>
      <c r="AK138" s="22">
        <v>1</v>
      </c>
      <c r="AL138" s="22">
        <v>4</v>
      </c>
      <c r="AM138" s="22">
        <v>3</v>
      </c>
      <c r="AN138" s="22">
        <v>2</v>
      </c>
      <c r="AO138" s="22">
        <v>3</v>
      </c>
      <c r="AP138" s="21">
        <f>(AI138*$AI$2)+(AJ138*$AJ$2)+(AK138*$AK$2)+(AL138*$AL$2)+(AM138*$AM$2)+(AN138*$AN$2)+(AO138*$AO$2)</f>
        <v>315</v>
      </c>
      <c r="AQ138" s="21">
        <f>AP138+AH138</f>
        <v>675</v>
      </c>
      <c r="AR138" s="20"/>
      <c r="AS138" s="20"/>
      <c r="AT138" s="18"/>
      <c r="AU138" s="17"/>
      <c r="AV138" s="17"/>
      <c r="AW138" s="17"/>
      <c r="AX138" s="17"/>
      <c r="AY138" s="17"/>
      <c r="AZ138" s="17"/>
      <c r="BA138" s="17"/>
      <c r="BB138" s="17"/>
      <c r="BC138" s="17"/>
      <c r="BD138" s="17"/>
      <c r="BE138" s="17"/>
      <c r="BF138" s="17"/>
      <c r="BG138" s="16" t="s">
        <v>0</v>
      </c>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49"/>
    </row>
    <row r="139" spans="1:173" s="108" customFormat="1" ht="78">
      <c r="A139" s="21"/>
      <c r="B139" s="21"/>
      <c r="C139" s="32"/>
      <c r="D139" s="21"/>
      <c r="E139" s="69" t="s">
        <v>352</v>
      </c>
      <c r="F139" s="69" t="s">
        <v>351</v>
      </c>
      <c r="G139" s="69"/>
      <c r="H139" s="29">
        <v>45931</v>
      </c>
      <c r="I139" s="29"/>
      <c r="J139" s="29"/>
      <c r="K139" s="26"/>
      <c r="L139" s="47" t="s">
        <v>39</v>
      </c>
      <c r="M139" s="26" t="s">
        <v>38</v>
      </c>
      <c r="N139" s="25"/>
      <c r="O139" s="68" t="s">
        <v>69</v>
      </c>
      <c r="P139" s="23" t="s">
        <v>12</v>
      </c>
      <c r="Q139" s="23" t="s">
        <v>151</v>
      </c>
      <c r="R139" s="23"/>
      <c r="S139" s="23"/>
      <c r="T139" s="23"/>
      <c r="U139" s="23"/>
      <c r="V139" s="23"/>
      <c r="W139" s="23"/>
      <c r="X139" s="21" t="s">
        <v>5</v>
      </c>
      <c r="Y139" s="21"/>
      <c r="Z139" s="23"/>
      <c r="AA139" s="22">
        <v>3</v>
      </c>
      <c r="AB139" s="22">
        <v>5</v>
      </c>
      <c r="AC139" s="22">
        <v>1</v>
      </c>
      <c r="AD139" s="22">
        <v>5</v>
      </c>
      <c r="AE139" s="22">
        <v>1</v>
      </c>
      <c r="AF139" s="22">
        <v>1</v>
      </c>
      <c r="AG139" s="22">
        <v>5</v>
      </c>
      <c r="AH139" s="71">
        <f>(AA139*$AA$2)+(AB139*$AB$2)+(AC139*$AC$2)+(AD139*$AD$2)+(AE139*$AE$2)+(AF139*$AF$2)+(AG139*$AG$2)</f>
        <v>315</v>
      </c>
      <c r="AI139" s="22">
        <v>5</v>
      </c>
      <c r="AJ139" s="22">
        <v>5</v>
      </c>
      <c r="AK139" s="22">
        <v>2</v>
      </c>
      <c r="AL139" s="22">
        <v>5</v>
      </c>
      <c r="AM139" s="22">
        <v>1</v>
      </c>
      <c r="AN139" s="22">
        <v>3</v>
      </c>
      <c r="AO139" s="22">
        <v>3</v>
      </c>
      <c r="AP139" s="21">
        <f>(AI139*$AI$2)+(AJ139*$AJ$2)+(AK139*$AK$2)+(AL139*$AL$2)+(AM139*$AM$2)+(AN139*$AN$2)+(AO139*$AO$2)</f>
        <v>360</v>
      </c>
      <c r="AQ139" s="21">
        <f>AP139+AH139</f>
        <v>675</v>
      </c>
      <c r="AR139" s="20"/>
      <c r="AS139" s="20"/>
      <c r="AT139" s="18"/>
      <c r="AU139" s="17"/>
      <c r="AV139" s="17"/>
      <c r="AW139" s="17"/>
      <c r="AX139" s="17"/>
      <c r="AY139" s="17"/>
      <c r="AZ139" s="17"/>
      <c r="BA139" s="17"/>
      <c r="BB139" s="17"/>
      <c r="BC139" s="17"/>
      <c r="BD139" s="17"/>
      <c r="BE139" s="17"/>
      <c r="BF139" s="17"/>
      <c r="BG139" s="16" t="s">
        <v>0</v>
      </c>
      <c r="BH139" s="48"/>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row>
    <row r="140" spans="1:173" ht="39">
      <c r="A140" s="21"/>
      <c r="B140" s="21">
        <v>32</v>
      </c>
      <c r="C140" s="21"/>
      <c r="D140" s="21">
        <v>34796</v>
      </c>
      <c r="E140" s="69" t="s">
        <v>350</v>
      </c>
      <c r="F140" s="69" t="s">
        <v>349</v>
      </c>
      <c r="G140" s="69"/>
      <c r="H140" s="29">
        <v>45845</v>
      </c>
      <c r="I140" s="29">
        <v>45845</v>
      </c>
      <c r="J140" s="29">
        <v>46023</v>
      </c>
      <c r="K140" s="17">
        <f ca="1">TODAY()-I140</f>
        <v>161</v>
      </c>
      <c r="L140" s="47" t="s">
        <v>14</v>
      </c>
      <c r="M140" s="26" t="s">
        <v>38</v>
      </c>
      <c r="N140" s="25"/>
      <c r="O140" s="23" t="s">
        <v>69</v>
      </c>
      <c r="P140" s="23" t="s">
        <v>33</v>
      </c>
      <c r="Q140" s="23" t="s">
        <v>111</v>
      </c>
      <c r="R140" s="23"/>
      <c r="S140" s="23" t="s">
        <v>266</v>
      </c>
      <c r="T140" s="23" t="s">
        <v>348</v>
      </c>
      <c r="U140" s="23" t="s">
        <v>265</v>
      </c>
      <c r="V140" s="23" t="s">
        <v>66</v>
      </c>
      <c r="W140" s="23" t="s">
        <v>264</v>
      </c>
      <c r="X140" s="21" t="s">
        <v>5</v>
      </c>
      <c r="Y140" s="23" t="s">
        <v>126</v>
      </c>
      <c r="Z140" s="23" t="s">
        <v>18</v>
      </c>
      <c r="AA140" s="22">
        <v>3</v>
      </c>
      <c r="AB140" s="22">
        <v>5</v>
      </c>
      <c r="AC140" s="22">
        <v>1</v>
      </c>
      <c r="AD140" s="22">
        <v>5</v>
      </c>
      <c r="AE140" s="22">
        <v>0</v>
      </c>
      <c r="AF140" s="22">
        <v>3</v>
      </c>
      <c r="AG140" s="22">
        <v>3</v>
      </c>
      <c r="AH140" s="22">
        <f>(AA140*$AA$2)+(AB140*$AB$2)+(AC140*$AC$2)+(AD140*$AD$2)+(AE140*$AE$2)+(AF140*$AF$2)+(AG140*$AG$2)</f>
        <v>300</v>
      </c>
      <c r="AI140" s="22">
        <v>5</v>
      </c>
      <c r="AJ140" s="22">
        <v>5</v>
      </c>
      <c r="AK140" s="22">
        <v>2</v>
      </c>
      <c r="AL140" s="22">
        <v>3</v>
      </c>
      <c r="AM140" s="22">
        <v>5</v>
      </c>
      <c r="AN140" s="22">
        <v>5</v>
      </c>
      <c r="AO140" s="22">
        <v>5</v>
      </c>
      <c r="AP140" s="21">
        <f>(AI140*$AI$2)+(AJ140*$AJ$2)+(AK140*$AK$2)+(AL140*$AL$2)+(AM140*$AM$2)+(AN140*$AN$2)+(AO140*$AO$2)</f>
        <v>450</v>
      </c>
      <c r="AQ140" s="23">
        <f>AP140+AH140</f>
        <v>750</v>
      </c>
      <c r="AR140" s="20" t="s">
        <v>347</v>
      </c>
      <c r="AS140" s="20"/>
      <c r="AT140" s="18" t="s">
        <v>346</v>
      </c>
      <c r="AU140" s="17"/>
      <c r="AV140" s="23" t="s">
        <v>262</v>
      </c>
      <c r="AW140" s="17"/>
      <c r="AX140" s="17"/>
      <c r="AY140" s="17"/>
      <c r="AZ140" s="17"/>
      <c r="BA140" s="17"/>
      <c r="BB140" s="17"/>
      <c r="BC140" s="17"/>
      <c r="BD140" s="52">
        <f>SUM(AX140:BC140)</f>
        <v>0</v>
      </c>
      <c r="BE140" s="17"/>
      <c r="BF140" s="17"/>
      <c r="BG140" s="16" t="s">
        <v>192</v>
      </c>
      <c r="BH140" s="48"/>
    </row>
    <row r="141" spans="1:173" ht="78">
      <c r="A141" s="25"/>
      <c r="B141" s="25"/>
      <c r="C141" s="67"/>
      <c r="D141" s="25"/>
      <c r="E141" s="69" t="s">
        <v>345</v>
      </c>
      <c r="F141" s="69" t="s">
        <v>344</v>
      </c>
      <c r="G141" s="69" t="s">
        <v>343</v>
      </c>
      <c r="H141" s="119">
        <v>45931</v>
      </c>
      <c r="I141" s="119">
        <v>45868</v>
      </c>
      <c r="J141" s="119">
        <v>46111</v>
      </c>
      <c r="K141" s="17">
        <f ca="1">TODAY()-I141</f>
        <v>138</v>
      </c>
      <c r="L141" s="118" t="s">
        <v>14</v>
      </c>
      <c r="M141" s="26" t="s">
        <v>38</v>
      </c>
      <c r="N141" s="25"/>
      <c r="O141" s="67" t="s">
        <v>45</v>
      </c>
      <c r="P141" s="67" t="s">
        <v>33</v>
      </c>
      <c r="Q141" s="67" t="s">
        <v>342</v>
      </c>
      <c r="R141" s="67" t="s">
        <v>8</v>
      </c>
      <c r="S141" s="67" t="s">
        <v>21</v>
      </c>
      <c r="T141" s="67" t="s">
        <v>22</v>
      </c>
      <c r="U141" s="67" t="s">
        <v>341</v>
      </c>
      <c r="V141" s="67" t="s">
        <v>66</v>
      </c>
      <c r="W141" s="67" t="s">
        <v>340</v>
      </c>
      <c r="X141" s="21" t="s">
        <v>5</v>
      </c>
      <c r="Y141" s="25" t="s">
        <v>4</v>
      </c>
      <c r="Z141" s="67" t="s">
        <v>18</v>
      </c>
      <c r="AA141" s="26">
        <v>3</v>
      </c>
      <c r="AB141" s="26">
        <v>1</v>
      </c>
      <c r="AC141" s="26">
        <v>5</v>
      </c>
      <c r="AD141" s="26">
        <v>5</v>
      </c>
      <c r="AE141" s="26">
        <v>5</v>
      </c>
      <c r="AF141" s="26">
        <v>3</v>
      </c>
      <c r="AG141" s="26">
        <v>5</v>
      </c>
      <c r="AH141" s="26">
        <f>(AA141*$AA$2)+(AB141*$AB$2)+(AC141*$AC$2)+(AD141*$AD$2)+(AE141*$AE$2)+(AF141*$AF$2)+(AG141*$AG$2)</f>
        <v>405</v>
      </c>
      <c r="AI141" s="26">
        <v>3</v>
      </c>
      <c r="AJ141" s="26">
        <v>2</v>
      </c>
      <c r="AK141" s="26">
        <v>1</v>
      </c>
      <c r="AL141" s="26">
        <v>5</v>
      </c>
      <c r="AM141" s="26">
        <v>5</v>
      </c>
      <c r="AN141" s="26">
        <v>1</v>
      </c>
      <c r="AO141" s="26">
        <v>5</v>
      </c>
      <c r="AP141" s="25">
        <f>(AI141*$AI$2)+(AJ141*$AJ$2)+(AK141*$AK$2)+(AL141*$AL$2)+(AM141*$AM$2)+(AN141*$AN$2)+(AO141*$AO$2)</f>
        <v>330</v>
      </c>
      <c r="AQ141" s="25">
        <f>AP141+AH141</f>
        <v>735</v>
      </c>
      <c r="AR141" s="117" t="s">
        <v>339</v>
      </c>
      <c r="AS141" s="117"/>
      <c r="AT141" s="116"/>
      <c r="AU141" s="26"/>
      <c r="AV141" s="23" t="s">
        <v>54</v>
      </c>
      <c r="AW141" s="26"/>
      <c r="AX141" s="26"/>
      <c r="AY141" s="26"/>
      <c r="AZ141" s="26"/>
      <c r="BA141" s="26"/>
      <c r="BB141" s="26"/>
      <c r="BC141" s="26"/>
      <c r="BD141" s="52">
        <f>SUM(AX141:BC141)</f>
        <v>0</v>
      </c>
      <c r="BE141" s="26"/>
      <c r="BF141" s="26"/>
      <c r="BG141" s="16" t="s">
        <v>192</v>
      </c>
      <c r="BH141" s="115"/>
      <c r="BI141" s="114"/>
      <c r="BJ141" s="114"/>
      <c r="BK141" s="113"/>
      <c r="BL141" s="113"/>
      <c r="BM141" s="113"/>
      <c r="BN141" s="113"/>
      <c r="BO141" s="113"/>
      <c r="BP141" s="113"/>
      <c r="BQ141" s="113"/>
      <c r="BR141" s="113"/>
      <c r="BS141" s="113"/>
      <c r="BT141" s="113"/>
      <c r="BU141" s="113"/>
      <c r="BV141" s="113"/>
      <c r="BW141" s="113"/>
      <c r="BX141" s="113"/>
      <c r="BY141" s="113"/>
      <c r="BZ141" s="113"/>
      <c r="CA141" s="113"/>
      <c r="CB141" s="113"/>
      <c r="CC141" s="113"/>
      <c r="CD141" s="113"/>
      <c r="CE141" s="113"/>
      <c r="CF141" s="113"/>
      <c r="CG141" s="113"/>
      <c r="CH141" s="113"/>
      <c r="CI141" s="113"/>
      <c r="CJ141" s="113"/>
      <c r="CK141" s="113"/>
      <c r="CL141" s="113"/>
      <c r="CM141" s="113"/>
      <c r="CN141" s="113"/>
      <c r="CO141" s="113"/>
      <c r="CP141" s="113"/>
      <c r="CQ141" s="113"/>
      <c r="CR141" s="113"/>
      <c r="CS141" s="113"/>
      <c r="CT141" s="113"/>
      <c r="CU141" s="113"/>
      <c r="CV141" s="113"/>
      <c r="CW141" s="113"/>
      <c r="CX141" s="113"/>
      <c r="CY141" s="113"/>
      <c r="CZ141" s="113"/>
      <c r="DA141" s="113"/>
      <c r="DB141" s="113"/>
      <c r="DC141" s="113"/>
      <c r="DD141" s="113"/>
      <c r="DE141" s="113"/>
      <c r="DF141" s="113"/>
      <c r="DG141" s="113"/>
      <c r="DH141" s="113"/>
      <c r="DI141" s="113"/>
      <c r="DJ141" s="113"/>
      <c r="DK141" s="113"/>
      <c r="DL141" s="113"/>
      <c r="DM141" s="113"/>
      <c r="DN141" s="113"/>
      <c r="DO141" s="113"/>
      <c r="DP141" s="113"/>
      <c r="DQ141" s="113"/>
      <c r="DR141" s="113"/>
      <c r="DS141" s="113"/>
      <c r="DT141" s="113"/>
      <c r="DU141" s="113"/>
      <c r="DV141" s="113"/>
      <c r="DW141" s="113"/>
      <c r="DX141" s="113"/>
      <c r="DY141" s="113"/>
      <c r="DZ141" s="113"/>
      <c r="EA141" s="113"/>
      <c r="EB141" s="113"/>
      <c r="EC141" s="113"/>
      <c r="ED141" s="113"/>
      <c r="EE141" s="113"/>
      <c r="EF141" s="113"/>
      <c r="EG141" s="113"/>
      <c r="EH141" s="113"/>
      <c r="EI141" s="113"/>
      <c r="EJ141" s="113"/>
      <c r="EK141" s="113"/>
      <c r="EL141" s="113"/>
      <c r="EM141" s="113"/>
      <c r="EN141" s="113"/>
      <c r="EO141" s="113"/>
      <c r="EP141" s="113"/>
      <c r="EQ141" s="113"/>
      <c r="ER141" s="113"/>
      <c r="ES141" s="113"/>
      <c r="ET141" s="113"/>
      <c r="EU141" s="113"/>
      <c r="EV141" s="113"/>
      <c r="EW141" s="113"/>
      <c r="EX141" s="113"/>
      <c r="EY141" s="113"/>
      <c r="EZ141" s="113"/>
      <c r="FA141" s="113"/>
      <c r="FB141" s="113"/>
      <c r="FC141" s="113"/>
      <c r="FD141" s="113"/>
      <c r="FE141" s="113"/>
      <c r="FF141" s="113"/>
      <c r="FG141" s="113"/>
      <c r="FH141" s="113"/>
      <c r="FI141" s="113"/>
      <c r="FJ141" s="113"/>
      <c r="FK141" s="113"/>
      <c r="FL141" s="113"/>
      <c r="FM141" s="113"/>
      <c r="FN141" s="113"/>
      <c r="FO141" s="113"/>
      <c r="FP141" s="113"/>
      <c r="FQ141" s="113"/>
    </row>
    <row r="142" spans="1:173" ht="78">
      <c r="A142" s="21"/>
      <c r="B142" s="21">
        <v>133</v>
      </c>
      <c r="C142" s="21"/>
      <c r="D142" s="21"/>
      <c r="E142" s="69" t="s">
        <v>338</v>
      </c>
      <c r="F142" s="69" t="s">
        <v>337</v>
      </c>
      <c r="G142" s="69" t="s">
        <v>15</v>
      </c>
      <c r="H142" s="29">
        <v>45723</v>
      </c>
      <c r="I142" s="54"/>
      <c r="J142" s="54"/>
      <c r="K142" s="54">
        <f>J142-I142</f>
        <v>0</v>
      </c>
      <c r="L142" s="47" t="s">
        <v>39</v>
      </c>
      <c r="M142" s="53" t="s">
        <v>6</v>
      </c>
      <c r="N142" s="53"/>
      <c r="O142" s="23" t="s">
        <v>13</v>
      </c>
      <c r="P142" s="23" t="s">
        <v>12</v>
      </c>
      <c r="Q142" s="23" t="s">
        <v>11</v>
      </c>
      <c r="R142" s="23"/>
      <c r="S142" s="23" t="s">
        <v>336</v>
      </c>
      <c r="T142" s="23" t="s">
        <v>49</v>
      </c>
      <c r="U142" s="23"/>
      <c r="V142" s="23" t="s">
        <v>66</v>
      </c>
      <c r="W142" s="23"/>
      <c r="X142" s="21" t="s">
        <v>5</v>
      </c>
      <c r="Y142" s="23" t="s">
        <v>4</v>
      </c>
      <c r="Z142" s="23"/>
      <c r="AA142" s="23">
        <v>4</v>
      </c>
      <c r="AB142" s="23">
        <v>1</v>
      </c>
      <c r="AC142" s="23">
        <v>4</v>
      </c>
      <c r="AD142" s="23">
        <v>5</v>
      </c>
      <c r="AE142" s="23">
        <v>0</v>
      </c>
      <c r="AF142" s="23">
        <v>1</v>
      </c>
      <c r="AG142" s="23">
        <v>5</v>
      </c>
      <c r="AH142" s="22">
        <f>(AA142*$AA$2)+(AB142*$AB$2)+(AC142*$AC$2)+(AD142*$AD$2)+(AE142*$AE$2)+(AF142*$AF$2)+(AG142*$AG$2)</f>
        <v>300</v>
      </c>
      <c r="AI142" s="23">
        <v>5</v>
      </c>
      <c r="AJ142" s="23">
        <v>5</v>
      </c>
      <c r="AK142" s="23">
        <v>2</v>
      </c>
      <c r="AL142" s="23">
        <v>3</v>
      </c>
      <c r="AM142" s="23">
        <v>3</v>
      </c>
      <c r="AN142" s="23">
        <v>3</v>
      </c>
      <c r="AO142" s="23">
        <v>3</v>
      </c>
      <c r="AP142" s="21">
        <f>(AI142*$AI$2)+(AJ142*$AJ$2)+(AK142*$AK$2)+(AL142*$AL$2)+(AM142*$AM$2)+(AN142*$AN$2)+(AO142*$AO$2)</f>
        <v>360</v>
      </c>
      <c r="AQ142" s="21">
        <f>AP142+AH142</f>
        <v>660</v>
      </c>
      <c r="AR142" s="20" t="s">
        <v>335</v>
      </c>
      <c r="AS142" s="23" t="s">
        <v>334</v>
      </c>
      <c r="AT142" s="18"/>
      <c r="AU142" s="23"/>
      <c r="AV142" s="23" t="s">
        <v>333</v>
      </c>
      <c r="AW142" s="23"/>
      <c r="AX142" s="23"/>
      <c r="AY142" s="23"/>
      <c r="AZ142" s="23"/>
      <c r="BA142" s="23"/>
      <c r="BB142" s="23"/>
      <c r="BC142" s="23"/>
      <c r="BD142" s="52">
        <f>SUM(AX142:BC142)</f>
        <v>0</v>
      </c>
      <c r="BE142" s="23"/>
      <c r="BF142" s="23"/>
      <c r="BG142" s="16" t="s">
        <v>0</v>
      </c>
      <c r="BH142" s="51"/>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c r="CO142" s="50"/>
      <c r="CP142" s="50"/>
      <c r="CQ142" s="50"/>
      <c r="CR142" s="50"/>
      <c r="CS142" s="50"/>
      <c r="CT142" s="50"/>
      <c r="CU142" s="50"/>
      <c r="CV142" s="50"/>
      <c r="CW142" s="50"/>
      <c r="CX142" s="50"/>
      <c r="CY142" s="50"/>
      <c r="CZ142" s="50"/>
      <c r="DA142" s="50"/>
      <c r="DB142" s="50"/>
      <c r="DC142" s="50"/>
      <c r="DD142" s="50"/>
      <c r="DE142" s="50"/>
      <c r="DF142" s="50"/>
      <c r="DG142" s="50"/>
      <c r="DH142" s="50"/>
      <c r="DI142" s="50"/>
      <c r="DJ142" s="50"/>
      <c r="DK142" s="50"/>
      <c r="DL142" s="50"/>
      <c r="DM142" s="50"/>
      <c r="DN142" s="50"/>
      <c r="DO142" s="50"/>
      <c r="DP142" s="50"/>
      <c r="DQ142" s="50"/>
      <c r="DR142" s="50"/>
      <c r="DS142" s="50"/>
      <c r="DT142" s="50"/>
      <c r="DU142" s="50"/>
      <c r="DV142" s="50"/>
      <c r="DW142" s="50"/>
      <c r="DX142" s="50"/>
      <c r="DY142" s="50"/>
      <c r="DZ142" s="50"/>
      <c r="EA142" s="50"/>
      <c r="EB142" s="50"/>
      <c r="EC142" s="50"/>
      <c r="ED142" s="50"/>
      <c r="EE142" s="50"/>
      <c r="EF142" s="50"/>
      <c r="EG142" s="50"/>
      <c r="EH142" s="50"/>
      <c r="EI142" s="50"/>
      <c r="EJ142" s="50"/>
      <c r="EK142" s="50"/>
      <c r="EL142" s="50"/>
      <c r="EM142" s="50"/>
      <c r="EN142" s="50"/>
      <c r="EO142" s="50"/>
      <c r="EP142" s="50"/>
      <c r="EQ142" s="50"/>
      <c r="ER142" s="50"/>
      <c r="ES142" s="50"/>
      <c r="ET142" s="50"/>
      <c r="EU142" s="50"/>
      <c r="EV142" s="50"/>
      <c r="EW142" s="50"/>
      <c r="EX142" s="50"/>
      <c r="EY142" s="50"/>
      <c r="EZ142" s="50"/>
      <c r="FA142" s="50"/>
      <c r="FB142" s="50"/>
      <c r="FC142" s="50"/>
      <c r="FD142" s="50"/>
      <c r="FE142" s="50"/>
      <c r="FF142" s="50"/>
      <c r="FG142" s="50"/>
      <c r="FH142" s="50"/>
      <c r="FI142" s="50"/>
      <c r="FJ142" s="50"/>
      <c r="FK142" s="50"/>
      <c r="FL142" s="50"/>
      <c r="FM142" s="50"/>
      <c r="FN142" s="50"/>
      <c r="FO142" s="50"/>
      <c r="FP142" s="50"/>
      <c r="FQ142" s="50"/>
    </row>
    <row r="143" spans="1:173" ht="117">
      <c r="A143" s="21"/>
      <c r="B143" s="21"/>
      <c r="C143" s="32"/>
      <c r="D143" s="21"/>
      <c r="E143" s="69" t="s">
        <v>332</v>
      </c>
      <c r="F143" s="69" t="s">
        <v>331</v>
      </c>
      <c r="G143" s="69" t="s">
        <v>330</v>
      </c>
      <c r="H143" s="29">
        <v>45962</v>
      </c>
      <c r="I143" s="29"/>
      <c r="J143" s="29"/>
      <c r="K143" s="76"/>
      <c r="L143" s="61" t="s">
        <v>39</v>
      </c>
      <c r="M143" s="26" t="s">
        <v>38</v>
      </c>
      <c r="N143" s="25"/>
      <c r="O143" s="23" t="s">
        <v>13</v>
      </c>
      <c r="P143" s="23" t="s">
        <v>12</v>
      </c>
      <c r="Q143" s="23"/>
      <c r="R143" s="23"/>
      <c r="S143" s="23" t="s">
        <v>37</v>
      </c>
      <c r="T143" s="23"/>
      <c r="U143" s="23"/>
      <c r="V143" s="23" t="s">
        <v>28</v>
      </c>
      <c r="W143" s="23"/>
      <c r="X143" s="21" t="s">
        <v>5</v>
      </c>
      <c r="Y143" s="21" t="s">
        <v>42</v>
      </c>
      <c r="Z143" s="67" t="s">
        <v>18</v>
      </c>
      <c r="AA143" s="22">
        <v>5</v>
      </c>
      <c r="AB143" s="22">
        <v>5</v>
      </c>
      <c r="AC143" s="22">
        <v>3</v>
      </c>
      <c r="AD143" s="22">
        <v>5</v>
      </c>
      <c r="AE143" s="22">
        <v>1</v>
      </c>
      <c r="AF143" s="22">
        <v>3</v>
      </c>
      <c r="AG143" s="22">
        <v>3</v>
      </c>
      <c r="AH143" s="22">
        <f>(AA143*$AA$2)+(AB143*$AB$2)+(AC143*$AC$2)+(AD143*$AD$2)+(AE143*$AE$2)+(AF143*$AF$2)+(AG143*$AG$2)</f>
        <v>375</v>
      </c>
      <c r="AI143" s="22">
        <v>4</v>
      </c>
      <c r="AJ143" s="22">
        <v>3</v>
      </c>
      <c r="AK143" s="22">
        <v>2</v>
      </c>
      <c r="AL143" s="22">
        <v>3</v>
      </c>
      <c r="AM143" s="22">
        <v>3</v>
      </c>
      <c r="AN143" s="22">
        <v>3</v>
      </c>
      <c r="AO143" s="22">
        <v>1</v>
      </c>
      <c r="AP143" s="21">
        <f>(AI143*$AI$2)+(AJ143*$AJ$2)+(AK143*$AK$2)+(AL143*$AL$2)+(AM143*$AM$2)+(AN143*$AN$2)+(AO143*$AO$2)</f>
        <v>285</v>
      </c>
      <c r="AQ143" s="21">
        <f>AP143+AH143</f>
        <v>660</v>
      </c>
      <c r="AR143" s="20" t="s">
        <v>329</v>
      </c>
      <c r="AS143" s="20"/>
      <c r="AT143" s="18"/>
      <c r="AU143" s="17"/>
      <c r="AV143" s="17"/>
      <c r="AW143" s="17"/>
      <c r="AX143" s="17"/>
      <c r="AY143" s="17"/>
      <c r="AZ143" s="17"/>
      <c r="BA143" s="17"/>
      <c r="BB143" s="17"/>
      <c r="BC143" s="17"/>
      <c r="BD143" s="17"/>
      <c r="BE143" s="17"/>
      <c r="BF143" s="77"/>
      <c r="BG143" s="16"/>
      <c r="BH143" s="48"/>
    </row>
    <row r="144" spans="1:173" ht="104">
      <c r="A144" s="21"/>
      <c r="B144" s="21"/>
      <c r="C144" s="32"/>
      <c r="D144" s="21"/>
      <c r="E144" s="69" t="s">
        <v>328</v>
      </c>
      <c r="F144" s="69" t="s">
        <v>327</v>
      </c>
      <c r="G144" s="69" t="s">
        <v>326</v>
      </c>
      <c r="H144" s="29">
        <v>45964</v>
      </c>
      <c r="I144" s="29"/>
      <c r="J144" s="29"/>
      <c r="K144" s="26"/>
      <c r="L144" s="47" t="s">
        <v>39</v>
      </c>
      <c r="M144" s="26" t="s">
        <v>60</v>
      </c>
      <c r="N144" s="25"/>
      <c r="O144" s="23" t="s">
        <v>50</v>
      </c>
      <c r="P144" s="23" t="s">
        <v>12</v>
      </c>
      <c r="Q144" s="23" t="s">
        <v>325</v>
      </c>
      <c r="R144" s="23"/>
      <c r="S144" s="23" t="s">
        <v>37</v>
      </c>
      <c r="T144" s="23" t="s">
        <v>210</v>
      </c>
      <c r="U144" s="23" t="s">
        <v>31</v>
      </c>
      <c r="V144" s="23" t="s">
        <v>184</v>
      </c>
      <c r="W144" s="23" t="s">
        <v>324</v>
      </c>
      <c r="X144" s="21" t="s">
        <v>5</v>
      </c>
      <c r="Y144" s="21" t="s">
        <v>42</v>
      </c>
      <c r="Z144" s="23" t="s">
        <v>323</v>
      </c>
      <c r="AA144" s="22">
        <v>5</v>
      </c>
      <c r="AB144" s="22">
        <v>5</v>
      </c>
      <c r="AC144" s="22">
        <v>2</v>
      </c>
      <c r="AD144" s="22">
        <v>5</v>
      </c>
      <c r="AE144" s="22">
        <v>3</v>
      </c>
      <c r="AF144" s="22">
        <v>3</v>
      </c>
      <c r="AG144" s="22">
        <v>3</v>
      </c>
      <c r="AH144" s="22">
        <f>(AA144*$AA$2)+(AB144*$AB$2)+(AC144*$AC$2)+(AD144*$AD$2)+(AE144*$AE$2)+(AF144*$AF$2)+(AG144*$AG$2)</f>
        <v>390</v>
      </c>
      <c r="AI144" s="22">
        <v>3</v>
      </c>
      <c r="AJ144" s="22">
        <v>1</v>
      </c>
      <c r="AK144" s="22">
        <v>2</v>
      </c>
      <c r="AL144" s="22">
        <v>5</v>
      </c>
      <c r="AM144" s="22">
        <v>1</v>
      </c>
      <c r="AN144" s="22">
        <v>3</v>
      </c>
      <c r="AO144" s="22">
        <v>3</v>
      </c>
      <c r="AP144" s="21">
        <f>(AI144*$AI$2)+(AJ144*$AJ$2)+(AK144*$AK$2)+(AL144*$AL$2)+(AM144*$AM$2)+(AN144*$AN$2)+(AO144*$AO$2)</f>
        <v>270</v>
      </c>
      <c r="AQ144" s="21">
        <f>AP144+AH144</f>
        <v>660</v>
      </c>
      <c r="AR144" s="20" t="s">
        <v>322</v>
      </c>
      <c r="AS144" s="20" t="s">
        <v>321</v>
      </c>
      <c r="AT144" s="18"/>
      <c r="AU144" s="17"/>
      <c r="AV144" s="17" t="s">
        <v>320</v>
      </c>
      <c r="AW144" s="17"/>
      <c r="AX144" s="17"/>
      <c r="AY144" s="17"/>
      <c r="AZ144" s="17"/>
      <c r="BA144" s="17"/>
      <c r="BB144" s="17"/>
      <c r="BC144" s="17"/>
      <c r="BD144" s="17"/>
      <c r="BE144" s="17"/>
      <c r="BF144" s="17"/>
      <c r="BG144" s="16" t="s">
        <v>0</v>
      </c>
      <c r="BH144" s="106" t="s">
        <v>319</v>
      </c>
    </row>
    <row r="145" spans="1:173" s="11" customFormat="1" ht="34.5" customHeight="1">
      <c r="A145" s="21"/>
      <c r="B145" s="21"/>
      <c r="C145" s="32"/>
      <c r="D145" s="21"/>
      <c r="E145" s="69" t="s">
        <v>318</v>
      </c>
      <c r="F145" s="69" t="s">
        <v>317</v>
      </c>
      <c r="G145" s="69"/>
      <c r="H145" s="29">
        <v>45964</v>
      </c>
      <c r="I145" s="29"/>
      <c r="J145" s="29"/>
      <c r="K145" s="76"/>
      <c r="L145" s="47" t="s">
        <v>39</v>
      </c>
      <c r="M145" s="26" t="s">
        <v>74</v>
      </c>
      <c r="N145" s="25"/>
      <c r="O145" s="23" t="s">
        <v>69</v>
      </c>
      <c r="P145" s="23" t="s">
        <v>23</v>
      </c>
      <c r="Q145" s="23" t="s">
        <v>151</v>
      </c>
      <c r="R145" s="23"/>
      <c r="S145" s="23" t="s">
        <v>306</v>
      </c>
      <c r="T145" s="23" t="s">
        <v>49</v>
      </c>
      <c r="U145" s="23"/>
      <c r="V145" s="23"/>
      <c r="W145" s="23"/>
      <c r="X145" s="21" t="s">
        <v>5</v>
      </c>
      <c r="Y145" s="21" t="s">
        <v>126</v>
      </c>
      <c r="Z145" s="23" t="s">
        <v>78</v>
      </c>
      <c r="AA145" s="22">
        <v>3</v>
      </c>
      <c r="AB145" s="22">
        <v>5</v>
      </c>
      <c r="AC145" s="22">
        <v>1</v>
      </c>
      <c r="AD145" s="22">
        <v>5</v>
      </c>
      <c r="AE145" s="22">
        <v>1</v>
      </c>
      <c r="AF145" s="22">
        <v>3</v>
      </c>
      <c r="AG145" s="22">
        <v>5</v>
      </c>
      <c r="AH145" s="22">
        <f>(AA145*$AA$2)+(AB145*$AB$2)+(AC145*$AC$2)+(AD145*$AD$2)+(AE145*$AE$2)+(AF145*$AF$2)+(AG145*$AG$2)</f>
        <v>345</v>
      </c>
      <c r="AI145" s="22">
        <v>5</v>
      </c>
      <c r="AJ145" s="22">
        <v>3</v>
      </c>
      <c r="AK145" s="22">
        <v>1</v>
      </c>
      <c r="AL145" s="22">
        <v>4</v>
      </c>
      <c r="AM145" s="22">
        <v>3</v>
      </c>
      <c r="AN145" s="22">
        <v>2</v>
      </c>
      <c r="AO145" s="22">
        <v>3</v>
      </c>
      <c r="AP145" s="21">
        <f>(AI145*$AI$2)+(AJ145*$AJ$2)+(AK145*$AK$2)+(AL145*$AL$2)+(AM145*$AM$2)+(AN145*$AN$2)+(AO145*$AO$2)</f>
        <v>315</v>
      </c>
      <c r="AQ145" s="21">
        <f>AP145+AH145</f>
        <v>660</v>
      </c>
      <c r="AR145" s="20"/>
      <c r="AS145" s="20"/>
      <c r="AT145" s="18"/>
      <c r="AU145" s="17"/>
      <c r="AV145" s="17"/>
      <c r="AW145" s="17"/>
      <c r="AX145" s="17"/>
      <c r="AY145" s="17"/>
      <c r="AZ145" s="17"/>
      <c r="BA145" s="17"/>
      <c r="BB145" s="17"/>
      <c r="BC145" s="17"/>
      <c r="BD145" s="17"/>
      <c r="BE145" s="17"/>
      <c r="BF145" s="17"/>
      <c r="BG145" s="16" t="s">
        <v>0</v>
      </c>
      <c r="BH145" s="48"/>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row>
    <row r="146" spans="1:173" ht="52">
      <c r="A146" s="21" t="s">
        <v>316</v>
      </c>
      <c r="B146" s="21">
        <v>107</v>
      </c>
      <c r="C146" s="21"/>
      <c r="D146" s="21"/>
      <c r="E146" s="69" t="s">
        <v>315</v>
      </c>
      <c r="F146" s="69" t="s">
        <v>314</v>
      </c>
      <c r="G146" s="69" t="s">
        <v>313</v>
      </c>
      <c r="H146" s="29">
        <v>45658</v>
      </c>
      <c r="I146" s="29"/>
      <c r="J146" s="29"/>
      <c r="K146" s="54">
        <f>J146-I146</f>
        <v>0</v>
      </c>
      <c r="L146" s="47" t="s">
        <v>70</v>
      </c>
      <c r="M146" s="26" t="s">
        <v>6</v>
      </c>
      <c r="N146" s="26" t="s">
        <v>59</v>
      </c>
      <c r="O146" s="23" t="s">
        <v>32</v>
      </c>
      <c r="P146" s="23" t="s">
        <v>12</v>
      </c>
      <c r="Q146" s="16" t="s">
        <v>129</v>
      </c>
      <c r="R146" s="23" t="s">
        <v>30</v>
      </c>
      <c r="S146" s="23" t="s">
        <v>203</v>
      </c>
      <c r="T146" s="23" t="s">
        <v>312</v>
      </c>
      <c r="U146" s="23" t="s">
        <v>311</v>
      </c>
      <c r="V146" s="23" t="s">
        <v>56</v>
      </c>
      <c r="W146" s="22" t="s">
        <v>202</v>
      </c>
      <c r="X146" s="21" t="s">
        <v>5</v>
      </c>
      <c r="Y146" s="21" t="s">
        <v>4</v>
      </c>
      <c r="Z146" s="23" t="s">
        <v>3</v>
      </c>
      <c r="AA146" s="16">
        <v>2</v>
      </c>
      <c r="AB146" s="16">
        <v>1</v>
      </c>
      <c r="AC146" s="16">
        <v>1</v>
      </c>
      <c r="AD146" s="16">
        <v>5</v>
      </c>
      <c r="AE146" s="16">
        <v>1</v>
      </c>
      <c r="AF146" s="16">
        <v>5</v>
      </c>
      <c r="AG146" s="16">
        <v>3</v>
      </c>
      <c r="AH146" s="22">
        <f>(AA146*$AA$2)+(AB146*$AB$2)+(AC146*$AC$2)+(AD146*$AD$2)+(AE146*$AE$2)+(AF146*$AF$2)+(AG146*$AG$2)</f>
        <v>270</v>
      </c>
      <c r="AI146" s="21">
        <v>5</v>
      </c>
      <c r="AJ146" s="21">
        <v>5</v>
      </c>
      <c r="AK146" s="21">
        <v>4</v>
      </c>
      <c r="AL146" s="21">
        <v>1</v>
      </c>
      <c r="AM146" s="21">
        <v>3</v>
      </c>
      <c r="AN146" s="21">
        <v>5</v>
      </c>
      <c r="AO146" s="21">
        <v>3</v>
      </c>
      <c r="AP146" s="21">
        <f>(AI146*$AI$2)+(AJ146*$AJ$2)+(AK146*$AK$2)+(AL146*$AL$2)+(AM146*$AM$2)+(AN146*$AN$2)+(AO146*$AO$2)</f>
        <v>390</v>
      </c>
      <c r="AQ146" s="21">
        <f>AP146+AH146</f>
        <v>660</v>
      </c>
      <c r="AR146" s="112" t="s">
        <v>310</v>
      </c>
      <c r="AS146" s="112"/>
      <c r="AT146" s="18"/>
      <c r="AU146" s="22"/>
      <c r="AV146" s="22" t="s">
        <v>309</v>
      </c>
      <c r="AW146" s="22"/>
      <c r="AX146" s="22"/>
      <c r="AY146" s="22"/>
      <c r="AZ146" s="22"/>
      <c r="BA146" s="22"/>
      <c r="BB146" s="22"/>
      <c r="BC146" s="22"/>
      <c r="BD146" s="52">
        <f>SUM(AX146:BC146)</f>
        <v>0</v>
      </c>
      <c r="BE146" s="22"/>
      <c r="BF146" s="38"/>
      <c r="BG146" s="16" t="s">
        <v>0</v>
      </c>
      <c r="BH146" s="51"/>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c r="CR146" s="50"/>
      <c r="CS146" s="50"/>
      <c r="CT146" s="50"/>
      <c r="CU146" s="50"/>
      <c r="CV146" s="50"/>
      <c r="CW146" s="50"/>
      <c r="CX146" s="50"/>
      <c r="CY146" s="50"/>
      <c r="CZ146" s="50"/>
      <c r="DA146" s="50"/>
      <c r="DB146" s="50"/>
      <c r="DC146" s="50"/>
      <c r="DD146" s="50"/>
      <c r="DE146" s="50"/>
      <c r="DF146" s="50"/>
      <c r="DG146" s="50"/>
      <c r="DH146" s="50"/>
      <c r="DI146" s="50"/>
      <c r="DJ146" s="50"/>
      <c r="DK146" s="50"/>
      <c r="DL146" s="50"/>
      <c r="DM146" s="50"/>
      <c r="DN146" s="50"/>
      <c r="DO146" s="50"/>
      <c r="DP146" s="50"/>
      <c r="DQ146" s="50"/>
      <c r="DR146" s="50"/>
      <c r="DS146" s="50"/>
      <c r="DT146" s="50"/>
      <c r="DU146" s="50"/>
      <c r="DV146" s="50"/>
      <c r="DW146" s="50"/>
      <c r="DX146" s="50"/>
      <c r="DY146" s="50"/>
      <c r="DZ146" s="50"/>
      <c r="EA146" s="50"/>
      <c r="EB146" s="50"/>
      <c r="EC146" s="50"/>
      <c r="ED146" s="50"/>
      <c r="EE146" s="50"/>
      <c r="EF146" s="50"/>
      <c r="EG146" s="50"/>
      <c r="EH146" s="50"/>
      <c r="EI146" s="50"/>
      <c r="EJ146" s="50"/>
      <c r="EK146" s="50"/>
      <c r="EL146" s="50"/>
      <c r="EM146" s="50"/>
      <c r="EN146" s="50"/>
      <c r="EO146" s="50"/>
      <c r="EP146" s="50"/>
      <c r="EQ146" s="50"/>
      <c r="ER146" s="50"/>
      <c r="ES146" s="50"/>
      <c r="ET146" s="50"/>
      <c r="EU146" s="50"/>
      <c r="EV146" s="50"/>
      <c r="EW146" s="50"/>
      <c r="EX146" s="50"/>
      <c r="EY146" s="50"/>
      <c r="EZ146" s="50"/>
      <c r="FA146" s="50"/>
      <c r="FB146" s="50"/>
      <c r="FC146" s="50"/>
      <c r="FD146" s="50"/>
      <c r="FE146" s="50"/>
      <c r="FF146" s="50"/>
      <c r="FG146" s="50"/>
      <c r="FH146" s="50"/>
      <c r="FI146" s="50"/>
      <c r="FJ146" s="50"/>
      <c r="FK146" s="50"/>
      <c r="FL146" s="50"/>
      <c r="FM146" s="50"/>
      <c r="FN146" s="50"/>
      <c r="FO146" s="50"/>
      <c r="FP146" s="50"/>
      <c r="FQ146" s="50"/>
    </row>
    <row r="147" spans="1:173" ht="33.5" customHeight="1">
      <c r="A147" s="21"/>
      <c r="B147" s="21"/>
      <c r="C147" s="32"/>
      <c r="D147" s="21"/>
      <c r="E147" s="69" t="s">
        <v>308</v>
      </c>
      <c r="F147" s="69" t="s">
        <v>307</v>
      </c>
      <c r="G147" s="69"/>
      <c r="H147" s="29">
        <v>45964</v>
      </c>
      <c r="I147" s="29"/>
      <c r="J147" s="29"/>
      <c r="K147" s="26"/>
      <c r="L147" s="47" t="s">
        <v>39</v>
      </c>
      <c r="M147" s="25" t="s">
        <v>74</v>
      </c>
      <c r="N147" s="25"/>
      <c r="O147" s="68" t="s">
        <v>69</v>
      </c>
      <c r="P147" s="23" t="s">
        <v>12</v>
      </c>
      <c r="Q147" s="23" t="s">
        <v>151</v>
      </c>
      <c r="R147" s="23"/>
      <c r="S147" s="23" t="s">
        <v>306</v>
      </c>
      <c r="T147" s="23" t="s">
        <v>49</v>
      </c>
      <c r="U147" s="23"/>
      <c r="V147" s="23"/>
      <c r="W147" s="23"/>
      <c r="X147" s="21" t="s">
        <v>5</v>
      </c>
      <c r="Y147" s="21" t="s">
        <v>126</v>
      </c>
      <c r="Z147" s="23" t="s">
        <v>78</v>
      </c>
      <c r="AA147" s="22">
        <v>3</v>
      </c>
      <c r="AB147" s="22">
        <v>5</v>
      </c>
      <c r="AC147" s="22">
        <v>1</v>
      </c>
      <c r="AD147" s="22">
        <v>5</v>
      </c>
      <c r="AE147" s="22">
        <v>1</v>
      </c>
      <c r="AF147" s="22">
        <v>3</v>
      </c>
      <c r="AG147" s="22">
        <v>5</v>
      </c>
      <c r="AH147" s="22">
        <f>(AA147*$AA$2)+(AB147*$AB$2)+(AC147*$AC$2)+(AD147*$AD$2)+(AE147*$AE$2)+(AF147*$AF$2)+(AG147*$AG$2)</f>
        <v>345</v>
      </c>
      <c r="AI147" s="22">
        <v>5</v>
      </c>
      <c r="AJ147" s="22">
        <v>3</v>
      </c>
      <c r="AK147" s="22">
        <v>1</v>
      </c>
      <c r="AL147" s="22">
        <v>4</v>
      </c>
      <c r="AM147" s="22">
        <v>3</v>
      </c>
      <c r="AN147" s="22">
        <v>2</v>
      </c>
      <c r="AO147" s="22">
        <v>3</v>
      </c>
      <c r="AP147" s="21">
        <f>(AI147*$AI$2)+(AJ147*$AJ$2)+(AK147*$AK$2)+(AL147*$AL$2)+(AM147*$AM$2)+(AN147*$AN$2)+(AO147*$AO$2)</f>
        <v>315</v>
      </c>
      <c r="AQ147" s="21">
        <f>AP147+AH147</f>
        <v>660</v>
      </c>
      <c r="AR147" s="20"/>
      <c r="AS147" s="20"/>
      <c r="AT147" s="18"/>
      <c r="AU147" s="17"/>
      <c r="AV147" s="17"/>
      <c r="AW147" s="17"/>
      <c r="AX147" s="17"/>
      <c r="AY147" s="17"/>
      <c r="AZ147" s="17"/>
      <c r="BA147" s="17"/>
      <c r="BB147" s="17"/>
      <c r="BC147" s="17"/>
      <c r="BD147" s="17"/>
      <c r="BE147" s="17"/>
      <c r="BF147" s="17"/>
      <c r="BG147" s="16" t="s">
        <v>0</v>
      </c>
      <c r="BH147" s="48"/>
    </row>
    <row r="148" spans="1:173" s="111" customFormat="1" ht="162.5" customHeight="1">
      <c r="A148" s="21"/>
      <c r="B148" s="21"/>
      <c r="C148" s="32"/>
      <c r="D148" s="21"/>
      <c r="E148" s="69" t="s">
        <v>305</v>
      </c>
      <c r="F148" s="69" t="s">
        <v>304</v>
      </c>
      <c r="G148" s="69"/>
      <c r="H148" s="29">
        <v>45964</v>
      </c>
      <c r="I148" s="29"/>
      <c r="J148" s="29"/>
      <c r="K148" s="26"/>
      <c r="L148" s="47" t="s">
        <v>39</v>
      </c>
      <c r="M148" s="26" t="s">
        <v>38</v>
      </c>
      <c r="N148" s="25"/>
      <c r="O148" s="68" t="s">
        <v>69</v>
      </c>
      <c r="P148" s="23" t="s">
        <v>12</v>
      </c>
      <c r="Q148" s="23" t="s">
        <v>57</v>
      </c>
      <c r="R148" s="23"/>
      <c r="S148" s="23"/>
      <c r="T148" s="23"/>
      <c r="U148" s="23"/>
      <c r="V148" s="23"/>
      <c r="W148" s="23"/>
      <c r="X148" s="21" t="s">
        <v>5</v>
      </c>
      <c r="Y148" s="21"/>
      <c r="Z148" s="23"/>
      <c r="AA148" s="22">
        <v>5</v>
      </c>
      <c r="AB148" s="22">
        <v>5</v>
      </c>
      <c r="AC148" s="22">
        <v>1</v>
      </c>
      <c r="AD148" s="22">
        <v>5</v>
      </c>
      <c r="AE148" s="22">
        <v>1</v>
      </c>
      <c r="AF148" s="22">
        <v>1</v>
      </c>
      <c r="AG148" s="22">
        <v>3</v>
      </c>
      <c r="AH148" s="71">
        <f>(AA148*$AA$2)+(AB148*$AB$2)+(AC148*$AC$2)+(AD148*$AD$2)+(AE148*$AE$2)+(AF148*$AF$2)+(AG148*$AG$2)</f>
        <v>315</v>
      </c>
      <c r="AI148" s="22">
        <v>5</v>
      </c>
      <c r="AJ148" s="22">
        <v>5</v>
      </c>
      <c r="AK148" s="22">
        <v>2</v>
      </c>
      <c r="AL148" s="22">
        <v>3</v>
      </c>
      <c r="AM148" s="22">
        <v>2</v>
      </c>
      <c r="AN148" s="22">
        <v>1</v>
      </c>
      <c r="AO148" s="22">
        <v>5</v>
      </c>
      <c r="AP148" s="21">
        <f>(AI148*$AI$2)+(AJ148*$AJ$2)+(AK148*$AK$2)+(AL148*$AL$2)+(AM148*$AM$2)+(AN148*$AN$2)+(AO148*$AO$2)</f>
        <v>345</v>
      </c>
      <c r="AQ148" s="21">
        <f>AP148+AH148</f>
        <v>660</v>
      </c>
      <c r="AR148" s="20"/>
      <c r="AS148" s="20"/>
      <c r="AT148" s="18"/>
      <c r="AU148" s="17"/>
      <c r="AV148" s="17"/>
      <c r="AW148" s="17"/>
      <c r="AX148" s="17"/>
      <c r="AY148" s="17"/>
      <c r="AZ148" s="17"/>
      <c r="BA148" s="17"/>
      <c r="BB148" s="17"/>
      <c r="BC148" s="17"/>
      <c r="BD148" s="17"/>
      <c r="BE148" s="17"/>
      <c r="BF148" s="17"/>
      <c r="BG148" s="16" t="s">
        <v>0</v>
      </c>
      <c r="BH148" s="48"/>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row>
    <row r="149" spans="1:173" ht="37.5" customHeight="1">
      <c r="A149" s="21"/>
      <c r="B149" s="21"/>
      <c r="C149" s="32"/>
      <c r="D149" s="21"/>
      <c r="E149" s="69" t="s">
        <v>303</v>
      </c>
      <c r="F149" s="69" t="s">
        <v>302</v>
      </c>
      <c r="G149" s="69"/>
      <c r="H149" s="29"/>
      <c r="I149" s="29"/>
      <c r="J149" s="29"/>
      <c r="K149" s="76"/>
      <c r="L149" s="61" t="s">
        <v>39</v>
      </c>
      <c r="M149" s="26" t="s">
        <v>38</v>
      </c>
      <c r="N149" s="25"/>
      <c r="O149" s="23" t="s">
        <v>50</v>
      </c>
      <c r="P149" s="23" t="s">
        <v>12</v>
      </c>
      <c r="Q149" s="23"/>
      <c r="R149" s="23"/>
      <c r="S149" s="23" t="s">
        <v>37</v>
      </c>
      <c r="T149" s="23"/>
      <c r="U149" s="23"/>
      <c r="V149" s="23" t="s">
        <v>28</v>
      </c>
      <c r="W149" s="23"/>
      <c r="X149" s="21" t="s">
        <v>5</v>
      </c>
      <c r="Y149" s="21" t="s">
        <v>19</v>
      </c>
      <c r="Z149" s="67" t="s">
        <v>18</v>
      </c>
      <c r="AA149" s="22">
        <v>3</v>
      </c>
      <c r="AB149" s="22">
        <v>5</v>
      </c>
      <c r="AC149" s="22">
        <v>1</v>
      </c>
      <c r="AD149" s="22">
        <v>5</v>
      </c>
      <c r="AE149" s="22">
        <v>1</v>
      </c>
      <c r="AF149" s="22">
        <v>3</v>
      </c>
      <c r="AG149" s="22">
        <v>3</v>
      </c>
      <c r="AH149" s="22">
        <f>(AA149*$AA$2)+(AB149*$AB$2)+(AC149*$AC$2)+(AD149*$AD$2)+(AE149*$AE$2)+(AF149*$AF$2)+(AG149*$AG$2)</f>
        <v>315</v>
      </c>
      <c r="AI149" s="22">
        <v>3</v>
      </c>
      <c r="AJ149" s="22">
        <v>1</v>
      </c>
      <c r="AK149" s="22">
        <v>2</v>
      </c>
      <c r="AL149" s="22">
        <v>5</v>
      </c>
      <c r="AM149" s="22">
        <v>3</v>
      </c>
      <c r="AN149" s="22">
        <v>3</v>
      </c>
      <c r="AO149" s="22">
        <v>5</v>
      </c>
      <c r="AP149" s="21">
        <f>(AI149*$AI$2)+(AJ149*$AJ$2)+(AK149*$AK$2)+(AL149*$AL$2)+(AM149*$AM$2)+(AN149*$AN$2)+(AO149*$AO$2)</f>
        <v>330</v>
      </c>
      <c r="AQ149" s="21">
        <f>AP149+AH149</f>
        <v>645</v>
      </c>
      <c r="AR149" s="20" t="s">
        <v>301</v>
      </c>
      <c r="AS149" s="20"/>
      <c r="AT149" s="18"/>
      <c r="AU149" s="17"/>
      <c r="AV149" s="17"/>
      <c r="AW149" s="17"/>
      <c r="AX149" s="17"/>
      <c r="AY149" s="17"/>
      <c r="AZ149" s="17"/>
      <c r="BA149" s="17"/>
      <c r="BB149" s="17"/>
      <c r="BC149" s="17"/>
      <c r="BD149" s="17"/>
      <c r="BE149" s="17"/>
      <c r="BF149" s="77"/>
      <c r="BG149" s="16"/>
      <c r="BH149" s="48"/>
    </row>
    <row r="150" spans="1:173" ht="91">
      <c r="A150" s="21"/>
      <c r="B150" s="21"/>
      <c r="C150" s="32"/>
      <c r="D150" s="21"/>
      <c r="E150" s="69" t="s">
        <v>300</v>
      </c>
      <c r="F150" s="69" t="s">
        <v>299</v>
      </c>
      <c r="G150" s="69" t="s">
        <v>298</v>
      </c>
      <c r="H150" s="29">
        <v>45964</v>
      </c>
      <c r="I150" s="29"/>
      <c r="J150" s="29"/>
      <c r="K150" s="26"/>
      <c r="L150" s="47" t="s">
        <v>39</v>
      </c>
      <c r="M150" s="26" t="s">
        <v>60</v>
      </c>
      <c r="N150" s="25"/>
      <c r="O150" s="23" t="s">
        <v>50</v>
      </c>
      <c r="P150" s="23" t="s">
        <v>12</v>
      </c>
      <c r="Q150" s="23"/>
      <c r="R150" s="23"/>
      <c r="S150" s="23" t="s">
        <v>37</v>
      </c>
      <c r="T150" s="23" t="s">
        <v>42</v>
      </c>
      <c r="U150" s="23"/>
      <c r="V150" s="23"/>
      <c r="W150" s="23"/>
      <c r="X150" s="21" t="s">
        <v>5</v>
      </c>
      <c r="Y150" s="21" t="s">
        <v>42</v>
      </c>
      <c r="Z150" s="23" t="s">
        <v>18</v>
      </c>
      <c r="AA150" s="22">
        <v>5</v>
      </c>
      <c r="AB150" s="22">
        <v>5</v>
      </c>
      <c r="AC150" s="22">
        <v>2</v>
      </c>
      <c r="AD150" s="22">
        <v>5</v>
      </c>
      <c r="AE150" s="22">
        <v>3</v>
      </c>
      <c r="AF150" s="22">
        <v>3</v>
      </c>
      <c r="AG150" s="22">
        <v>3</v>
      </c>
      <c r="AH150" s="22">
        <f>(AA150*$AA$2)+(AB150*$AB$2)+(AC150*$AC$2)+(AD150*$AD$2)+(AE150*$AE$2)+(AF150*$AF$2)+(AG150*$AG$2)</f>
        <v>390</v>
      </c>
      <c r="AI150" s="22">
        <v>3</v>
      </c>
      <c r="AJ150" s="22">
        <v>1</v>
      </c>
      <c r="AK150" s="22">
        <v>1</v>
      </c>
      <c r="AL150" s="22">
        <v>3</v>
      </c>
      <c r="AM150" s="22">
        <v>1</v>
      </c>
      <c r="AN150" s="22">
        <v>3</v>
      </c>
      <c r="AO150" s="22">
        <v>5</v>
      </c>
      <c r="AP150" s="21">
        <f>(AI150*$AI$2)+(AJ150*$AJ$2)+(AK150*$AK$2)+(AL150*$AL$2)+(AM150*$AM$2)+(AN150*$AN$2)+(AO150*$AO$2)</f>
        <v>255</v>
      </c>
      <c r="AQ150" s="21">
        <f>AP150+AH150</f>
        <v>645</v>
      </c>
      <c r="AR150" s="20" t="s">
        <v>297</v>
      </c>
      <c r="AS150" s="20" t="s">
        <v>31</v>
      </c>
      <c r="AT150" s="18"/>
      <c r="AU150" s="17"/>
      <c r="AV150" s="17" t="s">
        <v>296</v>
      </c>
      <c r="AW150" s="17"/>
      <c r="AX150" s="17"/>
      <c r="AY150" s="17"/>
      <c r="AZ150" s="17"/>
      <c r="BA150" s="17"/>
      <c r="BB150" s="17"/>
      <c r="BC150" s="17"/>
      <c r="BD150" s="17"/>
      <c r="BE150" s="17"/>
      <c r="BF150" s="17"/>
      <c r="BG150" s="16" t="s">
        <v>0</v>
      </c>
      <c r="BH150" s="20" t="s">
        <v>295</v>
      </c>
    </row>
    <row r="151" spans="1:173" ht="55" customHeight="1">
      <c r="A151" s="21"/>
      <c r="B151" s="21"/>
      <c r="C151" s="32"/>
      <c r="D151" s="21"/>
      <c r="E151" s="69" t="s">
        <v>294</v>
      </c>
      <c r="F151" s="69" t="s">
        <v>293</v>
      </c>
      <c r="G151" s="69"/>
      <c r="H151" s="29">
        <v>45964</v>
      </c>
      <c r="I151" s="29"/>
      <c r="J151" s="29"/>
      <c r="K151" s="76"/>
      <c r="L151" s="47" t="s">
        <v>39</v>
      </c>
      <c r="M151" s="26" t="s">
        <v>74</v>
      </c>
      <c r="N151" s="25"/>
      <c r="O151" s="68" t="s">
        <v>69</v>
      </c>
      <c r="P151" s="23" t="s">
        <v>12</v>
      </c>
      <c r="Q151" s="23" t="s">
        <v>44</v>
      </c>
      <c r="R151" s="23"/>
      <c r="S151" s="23"/>
      <c r="T151" s="23" t="s">
        <v>73</v>
      </c>
      <c r="U151" s="23"/>
      <c r="V151" s="23" t="s">
        <v>99</v>
      </c>
      <c r="W151" s="23"/>
      <c r="X151" s="21" t="s">
        <v>5</v>
      </c>
      <c r="Y151" s="21"/>
      <c r="Z151" s="23"/>
      <c r="AA151" s="22">
        <v>3</v>
      </c>
      <c r="AB151" s="22">
        <v>1</v>
      </c>
      <c r="AC151" s="22">
        <v>2</v>
      </c>
      <c r="AD151" s="22">
        <v>5</v>
      </c>
      <c r="AE151" s="22">
        <v>0</v>
      </c>
      <c r="AF151" s="22">
        <v>3</v>
      </c>
      <c r="AG151" s="22">
        <v>5</v>
      </c>
      <c r="AH151" s="22">
        <f>(AA151*$AA$2)+(AB151*$AB$2)+(AC151*$AC$2)+(AD151*$AD$2)+(AE151*$AE$2)+(AF151*$AF$2)+(AG151*$AG$2)</f>
        <v>285</v>
      </c>
      <c r="AI151" s="22">
        <v>3</v>
      </c>
      <c r="AJ151" s="22">
        <v>3</v>
      </c>
      <c r="AK151" s="22">
        <v>2</v>
      </c>
      <c r="AL151" s="22">
        <v>4</v>
      </c>
      <c r="AM151" s="22">
        <v>4</v>
      </c>
      <c r="AN151" s="22">
        <v>3</v>
      </c>
      <c r="AO151" s="22">
        <v>5</v>
      </c>
      <c r="AP151" s="21">
        <f>(AI151*$AI$2)+(AJ151*$AJ$2)+(AK151*$AK$2)+(AL151*$AL$2)+(AM151*$AM$2)+(AN151*$AN$2)+(AO151*$AO$2)</f>
        <v>360</v>
      </c>
      <c r="AQ151" s="21">
        <f>AP151+AH151</f>
        <v>645</v>
      </c>
      <c r="AR151" s="20" t="s">
        <v>292</v>
      </c>
      <c r="AS151" s="20"/>
      <c r="AT151" s="18"/>
      <c r="AU151" s="17"/>
      <c r="AV151" s="17"/>
      <c r="AW151" s="17"/>
      <c r="AX151" s="17"/>
      <c r="AY151" s="17"/>
      <c r="AZ151" s="17"/>
      <c r="BA151" s="17"/>
      <c r="BB151" s="17"/>
      <c r="BC151" s="17"/>
      <c r="BD151" s="17"/>
      <c r="BE151" s="17"/>
      <c r="BF151" s="17"/>
      <c r="BG151" s="16" t="s">
        <v>0</v>
      </c>
      <c r="BH151" s="48"/>
    </row>
    <row r="152" spans="1:173" s="50" customFormat="1" ht="75" customHeight="1">
      <c r="A152" s="21" t="s">
        <v>291</v>
      </c>
      <c r="B152" s="21">
        <v>30</v>
      </c>
      <c r="C152" s="21"/>
      <c r="D152" s="21">
        <v>30648</v>
      </c>
      <c r="E152" s="69" t="s">
        <v>290</v>
      </c>
      <c r="F152" s="69" t="s">
        <v>289</v>
      </c>
      <c r="G152" s="69"/>
      <c r="H152" s="29">
        <v>45474</v>
      </c>
      <c r="I152" s="29">
        <v>45488</v>
      </c>
      <c r="J152" s="54" t="s">
        <v>107</v>
      </c>
      <c r="K152" s="54"/>
      <c r="L152" s="47" t="s">
        <v>70</v>
      </c>
      <c r="M152" s="26" t="s">
        <v>74</v>
      </c>
      <c r="N152" s="26"/>
      <c r="O152" s="23" t="s">
        <v>69</v>
      </c>
      <c r="P152" s="23" t="s">
        <v>68</v>
      </c>
      <c r="Q152" s="23" t="s">
        <v>11</v>
      </c>
      <c r="R152" s="23"/>
      <c r="S152" s="23" t="s">
        <v>288</v>
      </c>
      <c r="T152" s="23" t="s">
        <v>288</v>
      </c>
      <c r="U152" s="23" t="s">
        <v>287</v>
      </c>
      <c r="V152" s="23" t="s">
        <v>99</v>
      </c>
      <c r="W152" s="22" t="s">
        <v>286</v>
      </c>
      <c r="X152" s="21" t="s">
        <v>5</v>
      </c>
      <c r="Y152" s="21" t="s">
        <v>126</v>
      </c>
      <c r="Z152" s="22" t="s">
        <v>147</v>
      </c>
      <c r="AA152" s="21">
        <v>4</v>
      </c>
      <c r="AB152" s="21">
        <v>5</v>
      </c>
      <c r="AC152" s="21">
        <v>1</v>
      </c>
      <c r="AD152" s="21">
        <v>5</v>
      </c>
      <c r="AE152" s="21">
        <v>1</v>
      </c>
      <c r="AF152" s="21">
        <v>1</v>
      </c>
      <c r="AG152" s="21">
        <v>5</v>
      </c>
      <c r="AH152" s="22">
        <f>(AA152*$AA$2)+(AB152*$AB$2)+(AC152*$AC$2)+(AD152*$AD$2)+(AE152*$AE$2)+(AF152*$AF$2)+(AG152*$AG$2)</f>
        <v>330</v>
      </c>
      <c r="AI152" s="21">
        <v>3</v>
      </c>
      <c r="AJ152" s="21">
        <v>2</v>
      </c>
      <c r="AK152" s="21">
        <v>1</v>
      </c>
      <c r="AL152" s="21">
        <v>5</v>
      </c>
      <c r="AM152" s="21">
        <v>3</v>
      </c>
      <c r="AN152" s="21">
        <v>1</v>
      </c>
      <c r="AO152" s="21">
        <v>5</v>
      </c>
      <c r="AP152" s="21">
        <f>(AI152*$AI$2)+(AJ152*$AJ$2)+(AK152*$AK$2)+(AL152*$AL$2)+(AM152*$AM$2)+(AN152*$AN$2)+(AO152*$AO$2)</f>
        <v>300</v>
      </c>
      <c r="AQ152" s="21">
        <f>AP152+AH152</f>
        <v>630</v>
      </c>
      <c r="AR152" s="80" t="s">
        <v>285</v>
      </c>
      <c r="AS152" s="80" t="s">
        <v>284</v>
      </c>
      <c r="AT152" s="23"/>
      <c r="AU152" s="23" t="s">
        <v>283</v>
      </c>
      <c r="AV152" s="17" t="s">
        <v>282</v>
      </c>
      <c r="AW152" s="17"/>
      <c r="AX152" s="17"/>
      <c r="AY152" s="17"/>
      <c r="AZ152" s="17"/>
      <c r="BA152" s="17"/>
      <c r="BB152" s="17"/>
      <c r="BC152" s="17"/>
      <c r="BD152" s="52">
        <f>SUM(AX152:BC152)</f>
        <v>0</v>
      </c>
      <c r="BE152" s="17"/>
      <c r="BF152" s="28"/>
      <c r="BG152" s="16" t="s">
        <v>70</v>
      </c>
      <c r="BH152" s="48"/>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row>
    <row r="153" spans="1:173" ht="37.5" customHeight="1">
      <c r="A153" s="21"/>
      <c r="B153" s="21"/>
      <c r="C153" s="32"/>
      <c r="D153" s="21"/>
      <c r="E153" s="69" t="s">
        <v>281</v>
      </c>
      <c r="F153" s="69" t="s">
        <v>280</v>
      </c>
      <c r="G153" s="69"/>
      <c r="H153" s="29">
        <v>45964</v>
      </c>
      <c r="I153" s="29"/>
      <c r="J153" s="29"/>
      <c r="K153" s="76"/>
      <c r="L153" s="61" t="s">
        <v>39</v>
      </c>
      <c r="M153" s="26" t="s">
        <v>38</v>
      </c>
      <c r="N153" s="25"/>
      <c r="O153" s="68" t="s">
        <v>45</v>
      </c>
      <c r="P153" s="23" t="s">
        <v>12</v>
      </c>
      <c r="Q153" s="23" t="s">
        <v>44</v>
      </c>
      <c r="R153" s="23"/>
      <c r="S153" s="23"/>
      <c r="T153" s="23"/>
      <c r="U153" s="23"/>
      <c r="V153" s="23" t="s">
        <v>28</v>
      </c>
      <c r="W153" s="23"/>
      <c r="X153" s="21" t="s">
        <v>5</v>
      </c>
      <c r="Y153" s="21"/>
      <c r="Z153" s="67" t="s">
        <v>18</v>
      </c>
      <c r="AA153" s="22">
        <v>5</v>
      </c>
      <c r="AB153" s="22">
        <v>5</v>
      </c>
      <c r="AC153" s="22">
        <v>5</v>
      </c>
      <c r="AD153" s="22">
        <v>5</v>
      </c>
      <c r="AE153" s="22">
        <v>3</v>
      </c>
      <c r="AF153" s="22">
        <v>3</v>
      </c>
      <c r="AG153" s="22">
        <v>3</v>
      </c>
      <c r="AH153" s="22">
        <f>(AA153*$AA$2)+(AB153*$AB$2)+(AC153*$AC$2)+(AD153*$AD$2)+(AE153*$AE$2)+(AF153*$AF$2)+(AG153*$AG$2)</f>
        <v>435</v>
      </c>
      <c r="AI153" s="22">
        <v>3</v>
      </c>
      <c r="AJ153" s="22">
        <v>1</v>
      </c>
      <c r="AK153" s="22">
        <v>1</v>
      </c>
      <c r="AL153" s="22">
        <v>5</v>
      </c>
      <c r="AM153" s="22">
        <v>1</v>
      </c>
      <c r="AN153" s="22">
        <v>1</v>
      </c>
      <c r="AO153" s="22">
        <v>1</v>
      </c>
      <c r="AP153" s="21">
        <f>(AI153*$AI$2)+(AJ153*$AJ$2)+(AK153*$AK$2)+(AL153*$AL$2)+(AM153*$AM$2)+(AN153*$AN$2)+(AO153*$AO$2)</f>
        <v>195</v>
      </c>
      <c r="AQ153" s="21">
        <f>AP153+AH153</f>
        <v>630</v>
      </c>
      <c r="AR153" s="20"/>
      <c r="AS153" s="20"/>
      <c r="AT153" s="18"/>
      <c r="AU153" s="17"/>
      <c r="AV153" s="17"/>
      <c r="AW153" s="17"/>
      <c r="AX153" s="17"/>
      <c r="AY153" s="17"/>
      <c r="AZ153" s="17"/>
      <c r="BA153" s="17"/>
      <c r="BB153" s="17"/>
      <c r="BC153" s="17"/>
      <c r="BD153" s="17"/>
      <c r="BE153" s="17"/>
      <c r="BF153" s="17"/>
      <c r="BG153" s="16"/>
      <c r="BH153" s="48"/>
    </row>
    <row r="154" spans="1:173" ht="26">
      <c r="A154" s="21"/>
      <c r="B154" s="21"/>
      <c r="C154" s="32"/>
      <c r="D154" s="21"/>
      <c r="E154" s="69" t="s">
        <v>279</v>
      </c>
      <c r="F154" s="69" t="s">
        <v>278</v>
      </c>
      <c r="G154" s="69"/>
      <c r="H154" s="29">
        <v>45964</v>
      </c>
      <c r="I154" s="29"/>
      <c r="J154" s="29"/>
      <c r="K154" s="26"/>
      <c r="L154" s="47" t="s">
        <v>39</v>
      </c>
      <c r="M154" s="26" t="s">
        <v>6</v>
      </c>
      <c r="N154" s="25"/>
      <c r="O154" s="68" t="s">
        <v>69</v>
      </c>
      <c r="P154" s="23" t="s">
        <v>12</v>
      </c>
      <c r="Q154" s="23" t="s">
        <v>57</v>
      </c>
      <c r="R154" s="23"/>
      <c r="S154" s="23" t="s">
        <v>10</v>
      </c>
      <c r="T154" s="23" t="s">
        <v>277</v>
      </c>
      <c r="U154" s="23"/>
      <c r="V154" s="23" t="s">
        <v>7</v>
      </c>
      <c r="W154" s="23"/>
      <c r="X154" s="21" t="s">
        <v>5</v>
      </c>
      <c r="Y154" s="21"/>
      <c r="Z154" s="23"/>
      <c r="AA154" s="22">
        <v>3</v>
      </c>
      <c r="AB154" s="22">
        <v>5</v>
      </c>
      <c r="AC154" s="22">
        <v>1</v>
      </c>
      <c r="AD154" s="22">
        <v>5</v>
      </c>
      <c r="AE154" s="22">
        <v>1</v>
      </c>
      <c r="AF154" s="22">
        <v>1</v>
      </c>
      <c r="AG154" s="22">
        <v>5</v>
      </c>
      <c r="AH154" s="71">
        <f>(AA154*$AA$2)+(AB154*$AB$2)+(AC154*$AC$2)+(AD154*$AD$2)+(AE154*$AE$2)+(AF154*$AF$2)+(AG154*$AG$2)</f>
        <v>315</v>
      </c>
      <c r="AI154" s="22">
        <v>5</v>
      </c>
      <c r="AJ154" s="22">
        <v>5</v>
      </c>
      <c r="AK154" s="22">
        <v>2</v>
      </c>
      <c r="AL154" s="22">
        <v>2</v>
      </c>
      <c r="AM154" s="22">
        <v>3</v>
      </c>
      <c r="AN154" s="22">
        <v>2</v>
      </c>
      <c r="AO154" s="22">
        <v>2</v>
      </c>
      <c r="AP154" s="21">
        <f>(AI154*$AI$2)+(AJ154*$AJ$2)+(AK154*$AK$2)+(AL154*$AL$2)+(AM154*$AM$2)+(AN154*$AN$2)+(AO154*$AO$2)</f>
        <v>315</v>
      </c>
      <c r="AQ154" s="21">
        <f>AP154+AH154</f>
        <v>630</v>
      </c>
      <c r="AR154" s="20"/>
      <c r="AS154" s="20"/>
      <c r="AT154" s="18"/>
      <c r="AU154" s="17"/>
      <c r="AV154" s="17"/>
      <c r="AW154" s="17"/>
      <c r="AX154" s="17"/>
      <c r="AY154" s="17"/>
      <c r="AZ154" s="17"/>
      <c r="BA154" s="17"/>
      <c r="BB154" s="17"/>
      <c r="BC154" s="17"/>
      <c r="BD154" s="17"/>
      <c r="BE154" s="17"/>
      <c r="BF154" s="17"/>
      <c r="BG154" s="16" t="s">
        <v>0</v>
      </c>
      <c r="BH154" s="48"/>
    </row>
    <row r="155" spans="1:173" s="50" customFormat="1" ht="62.5" customHeight="1">
      <c r="A155" s="21"/>
      <c r="B155" s="21"/>
      <c r="C155" s="32"/>
      <c r="D155" s="21"/>
      <c r="E155" s="110" t="s">
        <v>276</v>
      </c>
      <c r="F155" s="57" t="s">
        <v>275</v>
      </c>
      <c r="G155" s="110" t="s">
        <v>274</v>
      </c>
      <c r="H155" s="29">
        <v>45979</v>
      </c>
      <c r="I155" s="29">
        <v>45962</v>
      </c>
      <c r="J155" s="29">
        <v>46081</v>
      </c>
      <c r="K155" s="17">
        <f>J155-I155</f>
        <v>119</v>
      </c>
      <c r="L155" s="61" t="s">
        <v>14</v>
      </c>
      <c r="M155" s="26" t="s">
        <v>38</v>
      </c>
      <c r="N155" s="25"/>
      <c r="O155" s="23" t="s">
        <v>13</v>
      </c>
      <c r="P155" s="23" t="s">
        <v>33</v>
      </c>
      <c r="Q155" s="23"/>
      <c r="R155" s="23" t="s">
        <v>273</v>
      </c>
      <c r="S155" s="23" t="s">
        <v>37</v>
      </c>
      <c r="T155" s="23" t="s">
        <v>272</v>
      </c>
      <c r="U155" s="23" t="s">
        <v>8</v>
      </c>
      <c r="V155" s="23" t="s">
        <v>28</v>
      </c>
      <c r="W155" s="23" t="s">
        <v>27</v>
      </c>
      <c r="X155" s="21" t="s">
        <v>5</v>
      </c>
      <c r="Y155" s="21" t="s">
        <v>4</v>
      </c>
      <c r="Z155" s="23" t="s">
        <v>271</v>
      </c>
      <c r="AA155" s="22"/>
      <c r="AB155" s="22"/>
      <c r="AC155" s="22"/>
      <c r="AD155" s="22"/>
      <c r="AE155" s="22"/>
      <c r="AF155" s="22"/>
      <c r="AG155" s="22"/>
      <c r="AH155" s="22">
        <f>(AA155*$AA$2)+(AB155*$AB$2)+(AC155*$AC$2)+(AD155*$AD$2)+(AE155*$AE$2)+(AF155*$AF$2)+(AG155*$AG$2)</f>
        <v>0</v>
      </c>
      <c r="AI155" s="22"/>
      <c r="AJ155" s="22"/>
      <c r="AK155" s="22"/>
      <c r="AL155" s="22"/>
      <c r="AM155" s="22"/>
      <c r="AN155" s="22"/>
      <c r="AO155" s="22"/>
      <c r="AP155" s="21">
        <f>(AI155*$AI$2)+(AJ155*$AJ$2)+(AK155*$AK$2)+(AL155*$AL$2)+(AM155*$AM$2)+(AN155*$AN$2)+(AO155*$AO$2)</f>
        <v>0</v>
      </c>
      <c r="AQ155" s="21"/>
      <c r="AR155" s="20"/>
      <c r="AS155" s="20"/>
      <c r="AT155" s="18"/>
      <c r="AU155" s="17"/>
      <c r="AV155" s="17"/>
      <c r="AW155" s="17"/>
      <c r="AX155" s="17"/>
      <c r="AY155" s="17"/>
      <c r="AZ155" s="17"/>
      <c r="BA155" s="17"/>
      <c r="BB155" s="17"/>
      <c r="BC155" s="17"/>
      <c r="BD155" s="17"/>
      <c r="BE155" s="17"/>
      <c r="BF155" s="17"/>
      <c r="BG155" s="16" t="s">
        <v>53</v>
      </c>
      <c r="BH155" s="51"/>
    </row>
    <row r="156" spans="1:173" ht="51.5" customHeight="1">
      <c r="A156" s="21"/>
      <c r="B156" s="21">
        <v>2</v>
      </c>
      <c r="C156" s="21"/>
      <c r="D156" s="21"/>
      <c r="E156" s="69" t="s">
        <v>270</v>
      </c>
      <c r="F156" s="69" t="s">
        <v>269</v>
      </c>
      <c r="G156" s="69" t="s">
        <v>268</v>
      </c>
      <c r="H156" s="29">
        <v>45870</v>
      </c>
      <c r="I156" s="29">
        <v>45901</v>
      </c>
      <c r="J156" s="29">
        <v>45992</v>
      </c>
      <c r="K156" s="103">
        <f ca="1">TODAY()-I156</f>
        <v>105</v>
      </c>
      <c r="L156" s="47" t="s">
        <v>14</v>
      </c>
      <c r="M156" s="26" t="s">
        <v>38</v>
      </c>
      <c r="N156" s="25"/>
      <c r="O156" s="23" t="s">
        <v>69</v>
      </c>
      <c r="P156" s="23" t="s">
        <v>33</v>
      </c>
      <c r="Q156" s="23" t="s">
        <v>267</v>
      </c>
      <c r="R156" s="23"/>
      <c r="S156" s="23" t="s">
        <v>266</v>
      </c>
      <c r="T156" s="23" t="s">
        <v>266</v>
      </c>
      <c r="U156" s="23" t="s">
        <v>265</v>
      </c>
      <c r="V156" s="23" t="s">
        <v>184</v>
      </c>
      <c r="W156" s="23" t="s">
        <v>264</v>
      </c>
      <c r="X156" s="21" t="s">
        <v>5</v>
      </c>
      <c r="Y156" s="21" t="s">
        <v>126</v>
      </c>
      <c r="Z156" s="23" t="s">
        <v>18</v>
      </c>
      <c r="AA156" s="22">
        <v>5</v>
      </c>
      <c r="AB156" s="22">
        <v>5</v>
      </c>
      <c r="AC156" s="22">
        <v>3</v>
      </c>
      <c r="AD156" s="22">
        <v>5</v>
      </c>
      <c r="AE156" s="22">
        <v>5</v>
      </c>
      <c r="AF156" s="22">
        <v>5</v>
      </c>
      <c r="AG156" s="22">
        <v>3</v>
      </c>
      <c r="AH156" s="22">
        <f>(AA156*$AA$2)+(AB156*$AB$2)+(AC156*$AC$2)+(AD156*$AD$2)+(AE156*$AE$2)+(AF156*$AF$2)+(AG156*$AG$2)</f>
        <v>465</v>
      </c>
      <c r="AI156" s="22">
        <v>5</v>
      </c>
      <c r="AJ156" s="22">
        <v>5</v>
      </c>
      <c r="AK156" s="22">
        <v>2</v>
      </c>
      <c r="AL156" s="22">
        <v>5</v>
      </c>
      <c r="AM156" s="22">
        <v>3</v>
      </c>
      <c r="AN156" s="22">
        <v>3</v>
      </c>
      <c r="AO156" s="22">
        <v>5</v>
      </c>
      <c r="AP156" s="21">
        <f>(AI156*$AI$2)+(AJ156*$AJ$2)+(AK156*$AK$2)+(AL156*$AL$2)+(AM156*$AM$2)+(AN156*$AN$2)+(AO156*$AO$2)</f>
        <v>420</v>
      </c>
      <c r="AQ156" s="23">
        <f>AP156+AH156</f>
        <v>885</v>
      </c>
      <c r="AR156" s="20" t="s">
        <v>263</v>
      </c>
      <c r="AS156" s="20"/>
      <c r="AT156" s="18"/>
      <c r="AU156" s="17"/>
      <c r="AV156" s="23" t="s">
        <v>262</v>
      </c>
      <c r="AW156" s="17"/>
      <c r="AX156" s="17"/>
      <c r="AY156" s="17"/>
      <c r="AZ156" s="17"/>
      <c r="BA156" s="17"/>
      <c r="BB156" s="17"/>
      <c r="BC156" s="17"/>
      <c r="BD156" s="52">
        <f>SUM(AX156:BC156)</f>
        <v>0</v>
      </c>
      <c r="BE156" s="17"/>
      <c r="BF156" s="77"/>
      <c r="BG156" s="16" t="s">
        <v>192</v>
      </c>
      <c r="BH156" s="48"/>
    </row>
    <row r="157" spans="1:173" ht="39">
      <c r="A157" s="21"/>
      <c r="B157" s="21">
        <v>20</v>
      </c>
      <c r="C157" s="21"/>
      <c r="D157" s="21"/>
      <c r="E157" s="69" t="s">
        <v>261</v>
      </c>
      <c r="F157" s="69" t="s">
        <v>260</v>
      </c>
      <c r="G157" s="69"/>
      <c r="H157" s="29"/>
      <c r="I157" s="73">
        <v>45931</v>
      </c>
      <c r="J157" s="29">
        <v>45992</v>
      </c>
      <c r="K157" s="103">
        <f ca="1">TODAY()-I157</f>
        <v>75</v>
      </c>
      <c r="L157" s="47" t="s">
        <v>14</v>
      </c>
      <c r="M157" s="26" t="s">
        <v>6</v>
      </c>
      <c r="N157" s="25"/>
      <c r="O157" s="23" t="s">
        <v>32</v>
      </c>
      <c r="P157" s="23" t="s">
        <v>33</v>
      </c>
      <c r="Q157" s="23" t="s">
        <v>57</v>
      </c>
      <c r="R157" s="23" t="s">
        <v>259</v>
      </c>
      <c r="S157" s="23" t="s">
        <v>10</v>
      </c>
      <c r="T157" s="23" t="s">
        <v>9</v>
      </c>
      <c r="U157" s="23"/>
      <c r="V157" s="23" t="s">
        <v>56</v>
      </c>
      <c r="W157" s="23" t="s">
        <v>6</v>
      </c>
      <c r="X157" s="21" t="s">
        <v>5</v>
      </c>
      <c r="Y157" s="23" t="s">
        <v>126</v>
      </c>
      <c r="Z157" s="23"/>
      <c r="AA157" s="22">
        <v>3</v>
      </c>
      <c r="AB157" s="22">
        <v>5</v>
      </c>
      <c r="AC157" s="22">
        <v>1</v>
      </c>
      <c r="AD157" s="22">
        <v>5</v>
      </c>
      <c r="AE157" s="22">
        <v>0</v>
      </c>
      <c r="AF157" s="22">
        <v>3</v>
      </c>
      <c r="AG157" s="22">
        <v>3</v>
      </c>
      <c r="AH157" s="22">
        <f>(AA157*$AA$2)+(AB157*$AB$2)+(AC157*$AC$2)+(AD157*$AD$2)+(AE157*$AE$2)+(AF157*$AF$2)+(AG157*$AG$2)</f>
        <v>300</v>
      </c>
      <c r="AI157" s="22">
        <v>5</v>
      </c>
      <c r="AJ157" s="22">
        <v>5</v>
      </c>
      <c r="AK157" s="22">
        <v>2</v>
      </c>
      <c r="AL157" s="22">
        <v>3</v>
      </c>
      <c r="AM157" s="22">
        <v>5</v>
      </c>
      <c r="AN157" s="22">
        <v>5</v>
      </c>
      <c r="AO157" s="22">
        <v>5</v>
      </c>
      <c r="AP157" s="21">
        <f>(AI157*$AI$2)+(AJ157*$AJ$2)+(AK157*$AK$2)+(AL157*$AL$2)+(AM157*$AM$2)+(AN157*$AN$2)+(AO157*$AO$2)</f>
        <v>450</v>
      </c>
      <c r="AQ157" s="23">
        <f>AP157+AH157</f>
        <v>750</v>
      </c>
      <c r="AR157" s="20"/>
      <c r="AS157" s="20"/>
      <c r="AT157" s="18" t="s">
        <v>227</v>
      </c>
      <c r="AU157" s="17"/>
      <c r="AV157" s="17" t="s">
        <v>258</v>
      </c>
      <c r="AW157" s="17"/>
      <c r="AX157" s="17"/>
      <c r="AY157" s="17"/>
      <c r="AZ157" s="17"/>
      <c r="BA157" s="17"/>
      <c r="BB157" s="17"/>
      <c r="BC157" s="17"/>
      <c r="BD157" s="52">
        <f>SUM(AX157:BC157)</f>
        <v>0</v>
      </c>
      <c r="BE157" s="17"/>
      <c r="BF157" s="17"/>
      <c r="BG157" s="16" t="s">
        <v>53</v>
      </c>
      <c r="BH157" s="48"/>
    </row>
    <row r="158" spans="1:173" ht="78">
      <c r="A158" s="21"/>
      <c r="B158" s="21">
        <v>111</v>
      </c>
      <c r="C158" s="16"/>
      <c r="D158" s="21"/>
      <c r="E158" s="69" t="s">
        <v>257</v>
      </c>
      <c r="F158" s="69" t="s">
        <v>256</v>
      </c>
      <c r="G158" s="69" t="s">
        <v>255</v>
      </c>
      <c r="H158" s="29">
        <v>45632</v>
      </c>
      <c r="I158" s="29"/>
      <c r="J158" s="55"/>
      <c r="K158" s="54">
        <f>J158-I158</f>
        <v>0</v>
      </c>
      <c r="L158" s="47" t="s">
        <v>70</v>
      </c>
      <c r="M158" s="67" t="s">
        <v>196</v>
      </c>
      <c r="N158" s="67" t="s">
        <v>59</v>
      </c>
      <c r="O158" s="23" t="s">
        <v>69</v>
      </c>
      <c r="P158" s="23" t="s">
        <v>68</v>
      </c>
      <c r="Q158" s="16" t="s">
        <v>57</v>
      </c>
      <c r="R158" s="23" t="s">
        <v>8</v>
      </c>
      <c r="S158" s="23" t="s">
        <v>10</v>
      </c>
      <c r="T158" s="23" t="s">
        <v>10</v>
      </c>
      <c r="U158" s="23" t="s">
        <v>215</v>
      </c>
      <c r="V158" s="23" t="s">
        <v>56</v>
      </c>
      <c r="W158" s="23" t="s">
        <v>6</v>
      </c>
      <c r="X158" s="21" t="s">
        <v>5</v>
      </c>
      <c r="Y158" s="21" t="s">
        <v>4</v>
      </c>
      <c r="Z158" s="23" t="s">
        <v>3</v>
      </c>
      <c r="AA158" s="23">
        <v>3</v>
      </c>
      <c r="AB158" s="21">
        <v>5</v>
      </c>
      <c r="AC158" s="23">
        <v>1</v>
      </c>
      <c r="AD158" s="23">
        <v>5</v>
      </c>
      <c r="AE158" s="23">
        <v>1</v>
      </c>
      <c r="AF158" s="23">
        <v>5</v>
      </c>
      <c r="AG158" s="23">
        <v>5</v>
      </c>
      <c r="AH158" s="22">
        <f>(AA158*$AA$2)+(AB158*$AB$2)+(AC158*$AC$2)+(AD158*$AD$2)+(AE158*$AE$2)+(AF158*$AF$2)+(AG158*$AG$2)</f>
        <v>375</v>
      </c>
      <c r="AI158" s="21">
        <v>1</v>
      </c>
      <c r="AJ158" s="21">
        <v>5</v>
      </c>
      <c r="AK158" s="21">
        <v>2</v>
      </c>
      <c r="AL158" s="21">
        <v>3</v>
      </c>
      <c r="AM158" s="21">
        <v>3</v>
      </c>
      <c r="AN158" s="21">
        <v>1</v>
      </c>
      <c r="AO158" s="21">
        <v>1</v>
      </c>
      <c r="AP158" s="21">
        <f>(AI158*$AI$2)+(AJ158*$AJ$2)+(AK158*$AK$2)+(AL158*$AL$2)+(AM158*$AM$2)+(AN158*$AN$2)+(AO158*$AO$2)</f>
        <v>240</v>
      </c>
      <c r="AQ158" s="21">
        <f>AP158+AH158</f>
        <v>615</v>
      </c>
      <c r="AR158" s="20" t="s">
        <v>254</v>
      </c>
      <c r="AS158" s="20" t="s">
        <v>253</v>
      </c>
      <c r="AT158" s="23"/>
      <c r="AU158" s="17"/>
      <c r="AV158" s="17"/>
      <c r="AW158" s="17"/>
      <c r="AX158" s="17"/>
      <c r="AY158" s="17"/>
      <c r="AZ158" s="17"/>
      <c r="BA158" s="17"/>
      <c r="BB158" s="17"/>
      <c r="BC158" s="17"/>
      <c r="BD158" s="52">
        <f>SUM(AX158:BC158)</f>
        <v>0</v>
      </c>
      <c r="BE158" s="17"/>
      <c r="BF158" s="17"/>
      <c r="BG158" s="70" t="s">
        <v>70</v>
      </c>
      <c r="BH158" s="70" t="s">
        <v>252</v>
      </c>
      <c r="BI158" s="109"/>
      <c r="BJ158" s="109"/>
      <c r="BK158" s="109"/>
      <c r="BL158" s="109"/>
      <c r="BM158" s="109"/>
      <c r="BN158" s="109"/>
      <c r="BO158" s="109"/>
      <c r="BP158" s="109"/>
      <c r="BQ158" s="109"/>
      <c r="BR158" s="109"/>
      <c r="BS158" s="109"/>
      <c r="BT158" s="109"/>
      <c r="BU158" s="109"/>
      <c r="BV158" s="109"/>
      <c r="BW158" s="109"/>
      <c r="BX158" s="109"/>
      <c r="BY158" s="109"/>
      <c r="BZ158" s="109"/>
      <c r="CA158" s="109"/>
      <c r="CB158" s="109"/>
      <c r="CC158" s="109"/>
      <c r="CD158" s="109"/>
      <c r="CE158" s="109"/>
      <c r="CF158" s="109"/>
      <c r="CG158" s="109"/>
      <c r="CH158" s="109"/>
      <c r="CI158" s="109"/>
      <c r="CJ158" s="109"/>
      <c r="CK158" s="109"/>
      <c r="CL158" s="109"/>
      <c r="CM158" s="109"/>
      <c r="CN158" s="109"/>
      <c r="CO158" s="109"/>
      <c r="CP158" s="109"/>
      <c r="CQ158" s="109"/>
      <c r="CR158" s="109"/>
      <c r="CS158" s="109"/>
      <c r="CT158" s="109"/>
      <c r="CU158" s="109"/>
      <c r="CV158" s="109"/>
      <c r="CW158" s="109"/>
      <c r="CX158" s="109"/>
      <c r="CY158" s="109"/>
      <c r="CZ158" s="109"/>
      <c r="DA158" s="109"/>
      <c r="DB158" s="109"/>
      <c r="DC158" s="109"/>
      <c r="DD158" s="109"/>
      <c r="DE158" s="109"/>
      <c r="DF158" s="109"/>
      <c r="DG158" s="109"/>
      <c r="DH158" s="109"/>
      <c r="DI158" s="109"/>
      <c r="DJ158" s="109"/>
      <c r="DK158" s="109"/>
      <c r="DL158" s="109"/>
      <c r="DM158" s="109"/>
      <c r="DN158" s="109"/>
      <c r="DO158" s="109"/>
      <c r="DP158" s="109"/>
      <c r="DQ158" s="109"/>
      <c r="DR158" s="109"/>
      <c r="DS158" s="109"/>
      <c r="DT158" s="109"/>
      <c r="DU158" s="109"/>
      <c r="DV158" s="109"/>
      <c r="DW158" s="109"/>
      <c r="DX158" s="109"/>
      <c r="DY158" s="109"/>
      <c r="DZ158" s="109"/>
      <c r="EA158" s="109"/>
      <c r="EB158" s="109"/>
      <c r="EC158" s="109"/>
      <c r="ED158" s="109"/>
      <c r="EE158" s="109"/>
      <c r="EF158" s="109"/>
      <c r="EG158" s="109"/>
      <c r="EH158" s="109"/>
      <c r="EI158" s="109"/>
      <c r="EJ158" s="109"/>
      <c r="EK158" s="109"/>
      <c r="EL158" s="109"/>
      <c r="EM158" s="109"/>
      <c r="EN158" s="109"/>
      <c r="EO158" s="109"/>
      <c r="EP158" s="109"/>
      <c r="EQ158" s="109"/>
      <c r="ER158" s="109"/>
      <c r="ES158" s="109"/>
      <c r="ET158" s="109"/>
      <c r="EU158" s="109"/>
      <c r="EV158" s="109"/>
      <c r="EW158" s="109"/>
      <c r="EX158" s="109"/>
      <c r="EY158" s="109"/>
      <c r="EZ158" s="109"/>
      <c r="FA158" s="109"/>
      <c r="FB158" s="109"/>
      <c r="FC158" s="109"/>
      <c r="FD158" s="109"/>
      <c r="FE158" s="109"/>
      <c r="FF158" s="109"/>
      <c r="FG158" s="109"/>
      <c r="FH158" s="109"/>
      <c r="FI158" s="109"/>
      <c r="FJ158" s="109"/>
      <c r="FK158" s="109"/>
      <c r="FL158" s="109"/>
      <c r="FM158" s="109"/>
      <c r="FN158" s="109"/>
      <c r="FO158" s="109"/>
      <c r="FP158" s="109"/>
      <c r="FQ158" s="109"/>
    </row>
    <row r="159" spans="1:173" ht="52">
      <c r="A159" s="21"/>
      <c r="B159" s="21"/>
      <c r="C159" s="32"/>
      <c r="D159" s="21"/>
      <c r="E159" s="69" t="s">
        <v>251</v>
      </c>
      <c r="F159" s="69" t="s">
        <v>250</v>
      </c>
      <c r="G159" s="69"/>
      <c r="H159" s="29">
        <v>45964</v>
      </c>
      <c r="I159" s="29"/>
      <c r="J159" s="29"/>
      <c r="K159" s="76"/>
      <c r="L159" s="47" t="s">
        <v>39</v>
      </c>
      <c r="M159" s="26" t="s">
        <v>74</v>
      </c>
      <c r="N159" s="25"/>
      <c r="O159" s="23" t="s">
        <v>69</v>
      </c>
      <c r="P159" s="23" t="s">
        <v>23</v>
      </c>
      <c r="Q159" s="23" t="s">
        <v>57</v>
      </c>
      <c r="R159" s="23"/>
      <c r="S159" s="23" t="s">
        <v>73</v>
      </c>
      <c r="T159" s="23" t="s">
        <v>73</v>
      </c>
      <c r="U159" s="23"/>
      <c r="V159" s="23"/>
      <c r="W159" s="23"/>
      <c r="X159" s="21" t="s">
        <v>5</v>
      </c>
      <c r="Y159" s="21"/>
      <c r="Z159" s="23"/>
      <c r="AA159" s="22">
        <v>2</v>
      </c>
      <c r="AB159" s="22">
        <v>5</v>
      </c>
      <c r="AC159" s="22">
        <v>1</v>
      </c>
      <c r="AD159" s="22">
        <v>5</v>
      </c>
      <c r="AE159" s="22">
        <v>1</v>
      </c>
      <c r="AF159" s="22">
        <v>1</v>
      </c>
      <c r="AG159" s="22">
        <v>5</v>
      </c>
      <c r="AH159" s="22">
        <f>(AA159*$AA$2)+(AB159*$AB$2)+(AC159*$AC$2)+(AD159*$AD$2)+(AE159*$AE$2)+(AF159*$AF$2)+(AG159*$AG$2)</f>
        <v>300</v>
      </c>
      <c r="AI159" s="22">
        <v>5</v>
      </c>
      <c r="AJ159" s="22">
        <v>5</v>
      </c>
      <c r="AK159" s="22">
        <v>2</v>
      </c>
      <c r="AL159" s="22">
        <v>1</v>
      </c>
      <c r="AM159" s="22">
        <v>3</v>
      </c>
      <c r="AN159" s="22">
        <v>1</v>
      </c>
      <c r="AO159" s="22">
        <v>3</v>
      </c>
      <c r="AP159" s="21">
        <f>(AI159*$AI$2)+(AJ159*$AJ$2)+(AK159*$AK$2)+(AL159*$AL$2)+(AM159*$AM$2)+(AN159*$AN$2)+(AO159*$AO$2)</f>
        <v>300</v>
      </c>
      <c r="AQ159" s="21">
        <f>AP159+AH159</f>
        <v>600</v>
      </c>
      <c r="AR159" s="20"/>
      <c r="AS159" s="20"/>
      <c r="AT159" s="18"/>
      <c r="AU159" s="17"/>
      <c r="AV159" s="17"/>
      <c r="AW159" s="17"/>
      <c r="AX159" s="17"/>
      <c r="AY159" s="17"/>
      <c r="AZ159" s="17"/>
      <c r="BA159" s="17"/>
      <c r="BB159" s="17"/>
      <c r="BC159" s="17"/>
      <c r="BD159" s="17"/>
      <c r="BE159" s="17"/>
      <c r="BF159" s="17"/>
      <c r="BG159" s="16" t="s">
        <v>0</v>
      </c>
      <c r="BH159" s="48"/>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c r="CR159" s="50"/>
      <c r="CS159" s="50"/>
      <c r="CT159" s="50"/>
      <c r="CU159" s="50"/>
      <c r="CV159" s="50"/>
      <c r="CW159" s="50"/>
      <c r="CX159" s="50"/>
      <c r="CY159" s="50"/>
      <c r="CZ159" s="50"/>
      <c r="DA159" s="50"/>
      <c r="DB159" s="50"/>
      <c r="DC159" s="50"/>
      <c r="DD159" s="50"/>
      <c r="DE159" s="50"/>
      <c r="DF159" s="50"/>
      <c r="DG159" s="50"/>
      <c r="DH159" s="50"/>
      <c r="DI159" s="50"/>
      <c r="DJ159" s="50"/>
      <c r="DK159" s="50"/>
      <c r="DL159" s="50"/>
      <c r="DM159" s="50"/>
      <c r="DN159" s="50"/>
      <c r="DO159" s="50"/>
      <c r="DP159" s="50"/>
      <c r="DQ159" s="50"/>
      <c r="DR159" s="50"/>
      <c r="DS159" s="50"/>
      <c r="DT159" s="50"/>
      <c r="DU159" s="50"/>
      <c r="DV159" s="50"/>
      <c r="DW159" s="50"/>
      <c r="DX159" s="50"/>
      <c r="DY159" s="50"/>
      <c r="DZ159" s="50"/>
      <c r="EA159" s="50"/>
      <c r="EB159" s="50"/>
      <c r="EC159" s="50"/>
      <c r="ED159" s="50"/>
      <c r="EE159" s="50"/>
      <c r="EF159" s="50"/>
      <c r="EG159" s="50"/>
      <c r="EH159" s="50"/>
      <c r="EI159" s="50"/>
      <c r="EJ159" s="50"/>
      <c r="EK159" s="50"/>
      <c r="EL159" s="50"/>
      <c r="EM159" s="50"/>
      <c r="EN159" s="50"/>
      <c r="EO159" s="50"/>
      <c r="EP159" s="50"/>
      <c r="EQ159" s="50"/>
      <c r="ER159" s="50"/>
      <c r="ES159" s="50"/>
      <c r="ET159" s="50"/>
      <c r="EU159" s="50"/>
      <c r="EV159" s="50"/>
      <c r="EW159" s="50"/>
      <c r="EX159" s="50"/>
      <c r="EY159" s="50"/>
      <c r="EZ159" s="50"/>
      <c r="FA159" s="50"/>
      <c r="FB159" s="50"/>
      <c r="FC159" s="50"/>
      <c r="FD159" s="50"/>
      <c r="FE159" s="50"/>
      <c r="FF159" s="50"/>
      <c r="FG159" s="50"/>
      <c r="FH159" s="50"/>
      <c r="FI159" s="50"/>
      <c r="FJ159" s="50"/>
      <c r="FK159" s="50"/>
      <c r="FL159" s="50"/>
      <c r="FM159" s="50"/>
      <c r="FN159" s="50"/>
      <c r="FO159" s="50"/>
      <c r="FP159" s="50"/>
    </row>
    <row r="160" spans="1:173" ht="52" customHeight="1">
      <c r="A160" s="21"/>
      <c r="B160" s="21">
        <v>113</v>
      </c>
      <c r="C160" s="21"/>
      <c r="D160" s="21"/>
      <c r="E160" s="69" t="s">
        <v>249</v>
      </c>
      <c r="F160" s="69" t="s">
        <v>248</v>
      </c>
      <c r="G160" s="69"/>
      <c r="H160" s="29">
        <v>45627</v>
      </c>
      <c r="I160" s="29"/>
      <c r="J160" s="54"/>
      <c r="K160" s="54"/>
      <c r="L160" s="47" t="s">
        <v>112</v>
      </c>
      <c r="M160" s="26" t="s">
        <v>38</v>
      </c>
      <c r="N160" s="26"/>
      <c r="O160" s="23" t="s">
        <v>50</v>
      </c>
      <c r="P160" s="23" t="s">
        <v>12</v>
      </c>
      <c r="Q160" s="23" t="s">
        <v>179</v>
      </c>
      <c r="R160" s="23"/>
      <c r="S160" s="23" t="s">
        <v>128</v>
      </c>
      <c r="T160" s="23" t="s">
        <v>178</v>
      </c>
      <c r="U160" s="23"/>
      <c r="V160" s="23" t="s">
        <v>66</v>
      </c>
      <c r="W160" s="26"/>
      <c r="X160" s="21" t="s">
        <v>5</v>
      </c>
      <c r="Y160" s="21" t="s">
        <v>126</v>
      </c>
      <c r="Z160" s="23" t="s">
        <v>18</v>
      </c>
      <c r="AA160" s="26">
        <v>3</v>
      </c>
      <c r="AB160" s="26">
        <v>1</v>
      </c>
      <c r="AC160" s="26">
        <v>5</v>
      </c>
      <c r="AD160" s="26">
        <v>5</v>
      </c>
      <c r="AE160" s="26">
        <v>3</v>
      </c>
      <c r="AF160" s="26">
        <v>5</v>
      </c>
      <c r="AG160" s="26">
        <v>5</v>
      </c>
      <c r="AH160" s="22">
        <f>(AA160*$AA$2)+(AB160*$AB$2)+(AC160*$AC$2)+(AD160*$AD$2)+(AE160*$AE$2)+(AF160*$AF$2)+(AG160*$AG$2)</f>
        <v>405</v>
      </c>
      <c r="AI160" s="26">
        <v>3</v>
      </c>
      <c r="AJ160" s="26">
        <v>2</v>
      </c>
      <c r="AK160" s="26">
        <v>1</v>
      </c>
      <c r="AL160" s="26">
        <v>3</v>
      </c>
      <c r="AM160" s="26">
        <v>1</v>
      </c>
      <c r="AN160" s="26">
        <v>1</v>
      </c>
      <c r="AO160" s="26">
        <v>1</v>
      </c>
      <c r="AP160" s="21">
        <f>(AI160*$AI$2)+(AJ160*$AJ$2)+(AK160*$AK$2)+(AL160*$AL$2)+(AM160*$AM$2)+(AN160*$AN$2)+(AO160*$AO$2)</f>
        <v>180</v>
      </c>
      <c r="AQ160" s="21">
        <f>AP160+AH160</f>
        <v>585</v>
      </c>
      <c r="AR160" s="69" t="s">
        <v>247</v>
      </c>
      <c r="AS160" s="69" t="s">
        <v>246</v>
      </c>
      <c r="AT160" s="18"/>
      <c r="AU160" s="17"/>
      <c r="AV160" s="17"/>
      <c r="AW160" s="17"/>
      <c r="AX160" s="17"/>
      <c r="AY160" s="17"/>
      <c r="AZ160" s="17"/>
      <c r="BA160" s="17"/>
      <c r="BB160" s="17"/>
      <c r="BC160" s="17"/>
      <c r="BD160" s="52">
        <f>SUM(AX160:BC160)</f>
        <v>0</v>
      </c>
      <c r="BE160" s="17"/>
      <c r="BF160" s="17"/>
      <c r="BG160" s="16" t="s">
        <v>0</v>
      </c>
      <c r="BH160" s="48"/>
      <c r="BI160" s="108"/>
      <c r="BJ160" s="108"/>
    </row>
    <row r="161" spans="1:173" ht="39">
      <c r="A161" s="21"/>
      <c r="B161" s="21"/>
      <c r="C161" s="32"/>
      <c r="D161" s="21"/>
      <c r="E161" s="69" t="s">
        <v>245</v>
      </c>
      <c r="F161" s="69" t="s">
        <v>244</v>
      </c>
      <c r="G161" s="69"/>
      <c r="H161" s="29">
        <v>45964</v>
      </c>
      <c r="I161" s="29"/>
      <c r="J161" s="29"/>
      <c r="K161" s="26"/>
      <c r="L161" s="47" t="s">
        <v>39</v>
      </c>
      <c r="M161" s="26" t="s">
        <v>6</v>
      </c>
      <c r="N161" s="25"/>
      <c r="O161" s="68" t="s">
        <v>69</v>
      </c>
      <c r="P161" s="23" t="s">
        <v>12</v>
      </c>
      <c r="Q161" s="23" t="s">
        <v>151</v>
      </c>
      <c r="R161" s="23"/>
      <c r="S161" s="23" t="s">
        <v>37</v>
      </c>
      <c r="T161" s="23" t="s">
        <v>37</v>
      </c>
      <c r="U161" s="23"/>
      <c r="V161" s="23" t="s">
        <v>7</v>
      </c>
      <c r="W161" s="23"/>
      <c r="X161" s="21" t="s">
        <v>5</v>
      </c>
      <c r="Y161" s="21"/>
      <c r="Z161" s="23"/>
      <c r="AA161" s="22">
        <v>3</v>
      </c>
      <c r="AB161" s="22">
        <v>5</v>
      </c>
      <c r="AC161" s="22">
        <v>2</v>
      </c>
      <c r="AD161" s="22">
        <v>5</v>
      </c>
      <c r="AE161" s="22">
        <v>0</v>
      </c>
      <c r="AF161" s="22">
        <v>1</v>
      </c>
      <c r="AG161" s="22">
        <v>3</v>
      </c>
      <c r="AH161" s="70">
        <f>(AA161*$AA$2)+(AB161*$AB$2)+(AC161*$AC$2)+(AD161*$AD$2)+(AE161*$AE$2)+(AF161*$AF$2)+(AG161*$AG$2)</f>
        <v>285</v>
      </c>
      <c r="AI161" s="22">
        <v>5</v>
      </c>
      <c r="AJ161" s="22">
        <v>5</v>
      </c>
      <c r="AK161" s="22">
        <v>2</v>
      </c>
      <c r="AL161" s="22">
        <v>1</v>
      </c>
      <c r="AM161" s="22">
        <v>2</v>
      </c>
      <c r="AN161" s="22">
        <v>4</v>
      </c>
      <c r="AO161" s="22">
        <v>1</v>
      </c>
      <c r="AP161" s="21">
        <f>(AI161*$AI$2)+(AJ161*$AJ$2)+(AK161*$AK$2)+(AL161*$AL$2)+(AM161*$AM$2)+(AN161*$AN$2)+(AO161*$AO$2)</f>
        <v>300</v>
      </c>
      <c r="AQ161" s="21">
        <f>AP161+AH161</f>
        <v>585</v>
      </c>
      <c r="AR161" s="20"/>
      <c r="AS161" s="20"/>
      <c r="AT161" s="18"/>
      <c r="AU161" s="17"/>
      <c r="AV161" s="17"/>
      <c r="AW161" s="17"/>
      <c r="AX161" s="17"/>
      <c r="AY161" s="17"/>
      <c r="AZ161" s="17"/>
      <c r="BA161" s="17"/>
      <c r="BB161" s="17"/>
      <c r="BC161" s="17"/>
      <c r="BD161" s="17"/>
      <c r="BE161" s="17"/>
      <c r="BF161" s="107"/>
      <c r="BG161" s="16" t="s">
        <v>0</v>
      </c>
      <c r="BH161" s="48"/>
    </row>
    <row r="162" spans="1:173" ht="39">
      <c r="A162" s="21"/>
      <c r="B162" s="21"/>
      <c r="C162" s="32"/>
      <c r="D162" s="21"/>
      <c r="E162" s="69" t="s">
        <v>243</v>
      </c>
      <c r="F162" s="69" t="s">
        <v>242</v>
      </c>
      <c r="G162" s="69"/>
      <c r="H162" s="29">
        <v>45964</v>
      </c>
      <c r="I162" s="29"/>
      <c r="J162" s="29"/>
      <c r="K162" s="76"/>
      <c r="L162" s="47" t="s">
        <v>39</v>
      </c>
      <c r="M162" s="26" t="s">
        <v>74</v>
      </c>
      <c r="N162" s="25"/>
      <c r="O162" s="68" t="s">
        <v>32</v>
      </c>
      <c r="P162" s="23" t="s">
        <v>12</v>
      </c>
      <c r="Q162" s="23" t="s">
        <v>57</v>
      </c>
      <c r="R162" s="23"/>
      <c r="S162" s="23"/>
      <c r="T162" s="23" t="s">
        <v>73</v>
      </c>
      <c r="U162" s="23"/>
      <c r="V162" s="23"/>
      <c r="W162" s="23"/>
      <c r="X162" s="21" t="s">
        <v>5</v>
      </c>
      <c r="Y162" s="21"/>
      <c r="Z162" s="23"/>
      <c r="AA162" s="22">
        <v>3</v>
      </c>
      <c r="AB162" s="22">
        <v>1</v>
      </c>
      <c r="AC162" s="22">
        <v>2</v>
      </c>
      <c r="AD162" s="22">
        <v>5</v>
      </c>
      <c r="AE162" s="22">
        <v>1</v>
      </c>
      <c r="AF162" s="22">
        <v>1</v>
      </c>
      <c r="AG162" s="22">
        <v>5</v>
      </c>
      <c r="AH162" s="22">
        <f>(AA162*$AA$2)+(AB162*$AB$2)+(AC162*$AC$2)+(AD162*$AD$2)+(AE162*$AE$2)+(AF162*$AF$2)+(AG162*$AG$2)</f>
        <v>270</v>
      </c>
      <c r="AI162" s="22">
        <v>4</v>
      </c>
      <c r="AJ162" s="22">
        <v>3</v>
      </c>
      <c r="AK162" s="22">
        <v>2</v>
      </c>
      <c r="AL162" s="22">
        <v>5</v>
      </c>
      <c r="AM162" s="22">
        <v>1</v>
      </c>
      <c r="AN162" s="22">
        <v>3</v>
      </c>
      <c r="AO162" s="22">
        <v>3</v>
      </c>
      <c r="AP162" s="21">
        <f>(AI162*$AI$2)+(AJ162*$AJ$2)+(AK162*$AK$2)+(AL162*$AL$2)+(AM162*$AM$2)+(AN162*$AN$2)+(AO162*$AO$2)</f>
        <v>315</v>
      </c>
      <c r="AQ162" s="21">
        <f>AP162+AH162</f>
        <v>585</v>
      </c>
      <c r="AR162" s="20" t="s">
        <v>241</v>
      </c>
      <c r="AS162" s="20"/>
      <c r="AT162" s="18"/>
      <c r="AU162" s="17"/>
      <c r="AV162" s="17"/>
      <c r="AW162" s="17"/>
      <c r="AX162" s="17"/>
      <c r="AY162" s="17"/>
      <c r="AZ162" s="17"/>
      <c r="BA162" s="17"/>
      <c r="BB162" s="17"/>
      <c r="BC162" s="17"/>
      <c r="BD162" s="17"/>
      <c r="BE162" s="17"/>
      <c r="BF162" s="17"/>
      <c r="BG162" s="16" t="s">
        <v>0</v>
      </c>
      <c r="BH162" s="48"/>
    </row>
    <row r="163" spans="1:173" s="50" customFormat="1" ht="75" customHeight="1">
      <c r="A163" s="21"/>
      <c r="B163" s="21">
        <v>114</v>
      </c>
      <c r="C163" s="21"/>
      <c r="D163" s="21"/>
      <c r="E163" s="69" t="s">
        <v>240</v>
      </c>
      <c r="F163" s="69" t="s">
        <v>239</v>
      </c>
      <c r="G163" s="69" t="s">
        <v>238</v>
      </c>
      <c r="H163" s="29">
        <v>45658</v>
      </c>
      <c r="I163" s="29"/>
      <c r="J163" s="29"/>
      <c r="K163" s="54"/>
      <c r="L163" s="47" t="s">
        <v>39</v>
      </c>
      <c r="M163" s="67" t="s">
        <v>60</v>
      </c>
      <c r="N163" s="25" t="s">
        <v>59</v>
      </c>
      <c r="O163" s="23" t="s">
        <v>69</v>
      </c>
      <c r="P163" s="23" t="s">
        <v>12</v>
      </c>
      <c r="Q163" s="23" t="s">
        <v>237</v>
      </c>
      <c r="R163" s="23" t="s">
        <v>8</v>
      </c>
      <c r="S163" s="23" t="s">
        <v>92</v>
      </c>
      <c r="T163" s="23" t="s">
        <v>92</v>
      </c>
      <c r="U163" s="23" t="s">
        <v>107</v>
      </c>
      <c r="V163" s="23" t="s">
        <v>99</v>
      </c>
      <c r="W163" s="23" t="s">
        <v>6</v>
      </c>
      <c r="X163" s="21" t="s">
        <v>5</v>
      </c>
      <c r="Y163" s="21" t="s">
        <v>42</v>
      </c>
      <c r="Z163" s="23" t="s">
        <v>236</v>
      </c>
      <c r="AA163" s="21">
        <v>3</v>
      </c>
      <c r="AB163" s="21">
        <v>1</v>
      </c>
      <c r="AC163" s="21">
        <v>4</v>
      </c>
      <c r="AD163" s="21">
        <v>5</v>
      </c>
      <c r="AE163" s="21">
        <v>5</v>
      </c>
      <c r="AF163" s="21">
        <v>3</v>
      </c>
      <c r="AG163" s="21">
        <v>3</v>
      </c>
      <c r="AH163" s="22">
        <f>(AA163*$AA$2)+(AB163*$AB$2)+(AC163*$AC$2)+(AD163*$AD$2)+(AE163*$AE$2)+(AF163*$AF$2)+(AG163*$AG$2)</f>
        <v>360</v>
      </c>
      <c r="AI163" s="21">
        <v>3</v>
      </c>
      <c r="AJ163" s="21">
        <v>2</v>
      </c>
      <c r="AK163" s="21">
        <v>5</v>
      </c>
      <c r="AL163" s="21">
        <v>1</v>
      </c>
      <c r="AM163" s="21">
        <v>1</v>
      </c>
      <c r="AN163" s="21">
        <v>1</v>
      </c>
      <c r="AO163" s="21">
        <v>1</v>
      </c>
      <c r="AP163" s="21">
        <f>(AI163*$AI$2)+(AJ163*$AJ$2)+(AK163*$AK$2)+(AL163*$AL$2)+(AM163*$AM$2)+(AN163*$AN$2)+(AO163*$AO$2)</f>
        <v>210</v>
      </c>
      <c r="AQ163" s="21">
        <f>AP163+AH163</f>
        <v>570</v>
      </c>
      <c r="AR163" s="20" t="s">
        <v>183</v>
      </c>
      <c r="AS163" s="20" t="s">
        <v>235</v>
      </c>
      <c r="AT163" s="18"/>
      <c r="AU163" s="21"/>
      <c r="AV163" s="23" t="s">
        <v>234</v>
      </c>
      <c r="AW163" s="21"/>
      <c r="AX163" s="21"/>
      <c r="AY163" s="21"/>
      <c r="AZ163" s="21"/>
      <c r="BA163" s="21"/>
      <c r="BB163" s="21"/>
      <c r="BC163" s="21"/>
      <c r="BD163" s="52">
        <f>SUM(AX163:BC163)</f>
        <v>0</v>
      </c>
      <c r="BE163" s="21"/>
      <c r="BF163" s="37"/>
      <c r="BG163" s="16" t="s">
        <v>0</v>
      </c>
      <c r="BH163" s="5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row>
    <row r="164" spans="1:173" ht="52">
      <c r="A164" s="21"/>
      <c r="B164" s="21">
        <v>115</v>
      </c>
      <c r="C164" s="21"/>
      <c r="D164" s="21"/>
      <c r="E164" s="69" t="s">
        <v>233</v>
      </c>
      <c r="F164" s="69" t="s">
        <v>232</v>
      </c>
      <c r="G164" s="69"/>
      <c r="H164" s="29">
        <v>45658</v>
      </c>
      <c r="I164" s="29"/>
      <c r="J164" s="29"/>
      <c r="K164" s="54"/>
      <c r="L164" s="47" t="s">
        <v>39</v>
      </c>
      <c r="M164" s="25" t="s">
        <v>196</v>
      </c>
      <c r="N164" s="25" t="s">
        <v>59</v>
      </c>
      <c r="O164" s="23" t="s">
        <v>50</v>
      </c>
      <c r="P164" s="23" t="s">
        <v>12</v>
      </c>
      <c r="Q164" s="23" t="s">
        <v>231</v>
      </c>
      <c r="R164" s="23" t="s">
        <v>230</v>
      </c>
      <c r="S164" s="23" t="s">
        <v>92</v>
      </c>
      <c r="T164" s="23" t="s">
        <v>92</v>
      </c>
      <c r="U164" s="23" t="s">
        <v>107</v>
      </c>
      <c r="V164" s="23" t="s">
        <v>7</v>
      </c>
      <c r="W164" s="23" t="s">
        <v>6</v>
      </c>
      <c r="X164" s="21" t="s">
        <v>5</v>
      </c>
      <c r="Y164" s="21" t="s">
        <v>126</v>
      </c>
      <c r="Z164" s="23" t="s">
        <v>3</v>
      </c>
      <c r="AA164" s="21">
        <v>3</v>
      </c>
      <c r="AB164" s="21">
        <v>1</v>
      </c>
      <c r="AC164" s="21">
        <v>3</v>
      </c>
      <c r="AD164" s="21">
        <v>5</v>
      </c>
      <c r="AE164" s="21">
        <v>1</v>
      </c>
      <c r="AF164" s="21">
        <v>3</v>
      </c>
      <c r="AG164" s="21">
        <v>3</v>
      </c>
      <c r="AH164" s="22">
        <f>(AA164*$AA$2)+(AB164*$AB$2)+(AC164*$AC$2)+(AD164*$AD$2)+(AE164*$AE$2)+(AF164*$AF$2)+(AG164*$AG$2)</f>
        <v>285</v>
      </c>
      <c r="AI164" s="21">
        <v>5</v>
      </c>
      <c r="AJ164" s="21">
        <v>5</v>
      </c>
      <c r="AK164" s="21">
        <v>3</v>
      </c>
      <c r="AL164" s="21">
        <v>1</v>
      </c>
      <c r="AM164" s="21">
        <v>1</v>
      </c>
      <c r="AN164" s="21">
        <v>3</v>
      </c>
      <c r="AO164" s="21">
        <v>1</v>
      </c>
      <c r="AP164" s="21">
        <f>(AI164*$AI$2)+(AJ164*$AJ$2)+(AK164*$AK$2)+(AL164*$AL$2)+(AM164*$AM$2)+(AN164*$AN$2)+(AO164*$AO$2)</f>
        <v>285</v>
      </c>
      <c r="AQ164" s="21">
        <f>AP164+AH164</f>
        <v>570</v>
      </c>
      <c r="AR164" s="20" t="s">
        <v>229</v>
      </c>
      <c r="AS164" s="20" t="s">
        <v>228</v>
      </c>
      <c r="AT164" s="18"/>
      <c r="AU164" s="21"/>
      <c r="AV164" s="21" t="s">
        <v>227</v>
      </c>
      <c r="AW164" s="21"/>
      <c r="AX164" s="21"/>
      <c r="AY164" s="21"/>
      <c r="AZ164" s="21"/>
      <c r="BA164" s="21"/>
      <c r="BB164" s="21"/>
      <c r="BC164" s="21"/>
      <c r="BD164" s="52">
        <f>SUM(AX164:BC164)</f>
        <v>0</v>
      </c>
      <c r="BE164" s="21"/>
      <c r="BF164" s="21"/>
      <c r="BG164" s="16" t="s">
        <v>0</v>
      </c>
      <c r="BH164" s="51"/>
    </row>
    <row r="165" spans="1:173" ht="52">
      <c r="A165" s="21"/>
      <c r="B165" s="21">
        <v>112</v>
      </c>
      <c r="C165" s="21"/>
      <c r="D165" s="21"/>
      <c r="E165" s="69" t="s">
        <v>226</v>
      </c>
      <c r="F165" s="69" t="s">
        <v>225</v>
      </c>
      <c r="G165" s="69" t="s">
        <v>224</v>
      </c>
      <c r="H165" s="29">
        <v>45627</v>
      </c>
      <c r="I165" s="29"/>
      <c r="J165" s="54"/>
      <c r="K165" s="54"/>
      <c r="L165" s="61" t="s">
        <v>39</v>
      </c>
      <c r="M165" s="25" t="s">
        <v>196</v>
      </c>
      <c r="N165" s="25"/>
      <c r="O165" s="23" t="s">
        <v>50</v>
      </c>
      <c r="P165" s="23" t="s">
        <v>12</v>
      </c>
      <c r="Q165" s="23" t="s">
        <v>223</v>
      </c>
      <c r="R165" s="23"/>
      <c r="S165" s="23" t="s">
        <v>222</v>
      </c>
      <c r="T165" s="23" t="s">
        <v>92</v>
      </c>
      <c r="U165" s="23" t="s">
        <v>221</v>
      </c>
      <c r="V165" s="23" t="s">
        <v>7</v>
      </c>
      <c r="W165" s="23"/>
      <c r="X165" s="21" t="s">
        <v>5</v>
      </c>
      <c r="Y165" s="21" t="s">
        <v>42</v>
      </c>
      <c r="Z165" s="23" t="s">
        <v>3</v>
      </c>
      <c r="AA165" s="21">
        <v>3</v>
      </c>
      <c r="AB165" s="21">
        <v>1</v>
      </c>
      <c r="AC165" s="21">
        <v>3</v>
      </c>
      <c r="AD165" s="21">
        <v>5</v>
      </c>
      <c r="AE165" s="21">
        <v>0</v>
      </c>
      <c r="AF165" s="21">
        <v>1</v>
      </c>
      <c r="AG165" s="21">
        <v>3</v>
      </c>
      <c r="AH165" s="22">
        <f>(AA165*$AA$2)+(AB165*$AB$2)+(AC165*$AC$2)+(AD165*$AD$2)+(AE165*$AE$2)+(AF165*$AF$2)+(AG165*$AG$2)</f>
        <v>240</v>
      </c>
      <c r="AI165" s="21">
        <v>1</v>
      </c>
      <c r="AJ165" s="21">
        <v>3</v>
      </c>
      <c r="AK165" s="21">
        <v>2</v>
      </c>
      <c r="AL165" s="21">
        <v>3</v>
      </c>
      <c r="AM165" s="21">
        <v>3</v>
      </c>
      <c r="AN165" s="21">
        <v>5</v>
      </c>
      <c r="AO165" s="21">
        <v>3</v>
      </c>
      <c r="AP165" s="21">
        <f>(AI165*$AI$2)+(AJ165*$AJ$2)+(AK165*$AK$2)+(AL165*$AL$2)+(AM165*$AM$2)+(AN165*$AN$2)+(AO165*$AO$2)</f>
        <v>300</v>
      </c>
      <c r="AQ165" s="21">
        <f>AP165+AH165</f>
        <v>540</v>
      </c>
      <c r="AR165" s="20" t="s">
        <v>220</v>
      </c>
      <c r="AS165" s="20" t="s">
        <v>219</v>
      </c>
      <c r="AT165" s="18"/>
      <c r="AU165" s="17"/>
      <c r="AV165" s="17" t="s">
        <v>218</v>
      </c>
      <c r="AW165" s="17"/>
      <c r="AX165" s="17"/>
      <c r="AY165" s="17"/>
      <c r="AZ165" s="17"/>
      <c r="BA165" s="17"/>
      <c r="BB165" s="17"/>
      <c r="BC165" s="17"/>
      <c r="BD165" s="52">
        <f>SUM(AX165:BC165)</f>
        <v>0</v>
      </c>
      <c r="BE165" s="17"/>
      <c r="BF165" s="17"/>
      <c r="BG165" s="16" t="s">
        <v>0</v>
      </c>
      <c r="BH165" s="48"/>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c r="CO165" s="50"/>
      <c r="CP165" s="50"/>
      <c r="CQ165" s="50"/>
      <c r="CR165" s="50"/>
      <c r="CS165" s="50"/>
      <c r="CT165" s="50"/>
      <c r="CU165" s="50"/>
      <c r="CV165" s="50"/>
      <c r="CW165" s="50"/>
      <c r="CX165" s="50"/>
      <c r="CY165" s="50"/>
      <c r="CZ165" s="50"/>
      <c r="DA165" s="50"/>
      <c r="DB165" s="50"/>
      <c r="DC165" s="50"/>
      <c r="DD165" s="50"/>
      <c r="DE165" s="50"/>
      <c r="DF165" s="50"/>
      <c r="DG165" s="50"/>
      <c r="DH165" s="50"/>
      <c r="DI165" s="50"/>
      <c r="DJ165" s="50"/>
      <c r="DK165" s="50"/>
      <c r="DL165" s="50"/>
      <c r="DM165" s="50"/>
      <c r="DN165" s="50"/>
      <c r="DO165" s="50"/>
      <c r="DP165" s="50"/>
      <c r="DQ165" s="50"/>
      <c r="DR165" s="50"/>
      <c r="DS165" s="50"/>
      <c r="DT165" s="50"/>
      <c r="DU165" s="50"/>
      <c r="DV165" s="50"/>
      <c r="DW165" s="50"/>
      <c r="DX165" s="50"/>
      <c r="DY165" s="50"/>
      <c r="DZ165" s="50"/>
      <c r="EA165" s="50"/>
      <c r="EB165" s="50"/>
      <c r="EC165" s="50"/>
      <c r="ED165" s="50"/>
      <c r="EE165" s="50"/>
      <c r="EF165" s="50"/>
      <c r="EG165" s="50"/>
      <c r="EH165" s="50"/>
      <c r="EI165" s="50"/>
      <c r="EJ165" s="50"/>
      <c r="EK165" s="50"/>
      <c r="EL165" s="50"/>
      <c r="EM165" s="50"/>
      <c r="EN165" s="50"/>
      <c r="EO165" s="50"/>
      <c r="EP165" s="50"/>
      <c r="EQ165" s="50"/>
      <c r="ER165" s="50"/>
      <c r="ES165" s="50"/>
      <c r="ET165" s="50"/>
      <c r="EU165" s="50"/>
      <c r="EV165" s="50"/>
      <c r="EW165" s="50"/>
      <c r="EX165" s="50"/>
      <c r="EY165" s="50"/>
      <c r="EZ165" s="50"/>
      <c r="FA165" s="50"/>
      <c r="FB165" s="50"/>
      <c r="FC165" s="50"/>
      <c r="FD165" s="50"/>
      <c r="FE165" s="50"/>
      <c r="FF165" s="50"/>
      <c r="FG165" s="50"/>
      <c r="FH165" s="50"/>
      <c r="FI165" s="50"/>
      <c r="FJ165" s="50"/>
      <c r="FK165" s="50"/>
      <c r="FL165" s="50"/>
      <c r="FM165" s="50"/>
      <c r="FN165" s="50"/>
      <c r="FO165" s="50"/>
      <c r="FP165" s="50"/>
      <c r="FQ165" s="50"/>
    </row>
    <row r="166" spans="1:173" ht="78">
      <c r="A166" s="21"/>
      <c r="B166" s="21">
        <v>116</v>
      </c>
      <c r="C166" s="21"/>
      <c r="D166" s="21"/>
      <c r="E166" s="69" t="s">
        <v>217</v>
      </c>
      <c r="F166" s="69" t="s">
        <v>216</v>
      </c>
      <c r="G166" s="69"/>
      <c r="H166" s="29">
        <v>45632</v>
      </c>
      <c r="I166" s="29"/>
      <c r="J166" s="29"/>
      <c r="K166" s="54"/>
      <c r="L166" s="47" t="s">
        <v>70</v>
      </c>
      <c r="M166" s="67" t="s">
        <v>196</v>
      </c>
      <c r="N166" s="67" t="s">
        <v>59</v>
      </c>
      <c r="O166" s="23" t="s">
        <v>69</v>
      </c>
      <c r="P166" s="23" t="s">
        <v>68</v>
      </c>
      <c r="Q166" s="23" t="s">
        <v>50</v>
      </c>
      <c r="R166" s="23" t="s">
        <v>8</v>
      </c>
      <c r="S166" s="23" t="s">
        <v>10</v>
      </c>
      <c r="T166" s="23" t="s">
        <v>10</v>
      </c>
      <c r="U166" s="23" t="s">
        <v>215</v>
      </c>
      <c r="V166" s="23" t="s">
        <v>56</v>
      </c>
      <c r="W166" s="23" t="s">
        <v>6</v>
      </c>
      <c r="X166" s="21" t="s">
        <v>5</v>
      </c>
      <c r="Y166" s="21"/>
      <c r="Z166" s="23" t="s">
        <v>3</v>
      </c>
      <c r="AA166" s="23">
        <v>3</v>
      </c>
      <c r="AB166" s="23">
        <v>1</v>
      </c>
      <c r="AC166" s="23">
        <v>4</v>
      </c>
      <c r="AD166" s="23">
        <v>3</v>
      </c>
      <c r="AE166" s="23">
        <v>1</v>
      </c>
      <c r="AF166" s="23">
        <v>3</v>
      </c>
      <c r="AG166" s="23">
        <v>3</v>
      </c>
      <c r="AH166" s="22">
        <f>(AA166*$AA$2)+(AB166*$AB$2)+(AC166*$AC$2)+(AD166*$AD$2)+(AE166*$AE$2)+(AF166*$AF$2)+(AG166*$AG$2)</f>
        <v>270</v>
      </c>
      <c r="AI166" s="23">
        <v>3</v>
      </c>
      <c r="AJ166" s="23">
        <v>3</v>
      </c>
      <c r="AK166" s="23">
        <v>2</v>
      </c>
      <c r="AL166" s="23">
        <v>3</v>
      </c>
      <c r="AM166" s="23">
        <v>1</v>
      </c>
      <c r="AN166" s="23">
        <v>3</v>
      </c>
      <c r="AO166" s="23">
        <v>1</v>
      </c>
      <c r="AP166" s="21">
        <f>(AI166*$AI$2)+(AJ166*$AJ$2)+(AK166*$AK$2)+(AL166*$AL$2)+(AM166*$AM$2)+(AN166*$AN$2)+(AO166*$AO$2)</f>
        <v>240</v>
      </c>
      <c r="AQ166" s="21">
        <f>AP166+AH166</f>
        <v>510</v>
      </c>
      <c r="AR166" s="20" t="s">
        <v>183</v>
      </c>
      <c r="AS166" s="20" t="s">
        <v>214</v>
      </c>
      <c r="AT166" s="23"/>
      <c r="AU166" s="17"/>
      <c r="AV166" s="17"/>
      <c r="AW166" s="17"/>
      <c r="AX166" s="17"/>
      <c r="AY166" s="17"/>
      <c r="AZ166" s="17"/>
      <c r="BA166" s="17"/>
      <c r="BB166" s="17"/>
      <c r="BC166" s="17"/>
      <c r="BD166" s="52">
        <f>SUM(AX166:BC166)</f>
        <v>0</v>
      </c>
      <c r="BE166" s="17"/>
      <c r="BF166" s="17"/>
      <c r="BG166" s="16" t="s">
        <v>70</v>
      </c>
      <c r="BH166" s="106"/>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c r="CO166" s="50"/>
      <c r="CP166" s="50"/>
      <c r="CQ166" s="50"/>
      <c r="CR166" s="50"/>
      <c r="CS166" s="50"/>
      <c r="CT166" s="50"/>
      <c r="CU166" s="50"/>
      <c r="CV166" s="50"/>
      <c r="CW166" s="50"/>
      <c r="CX166" s="50"/>
      <c r="CY166" s="50"/>
      <c r="CZ166" s="50"/>
      <c r="DA166" s="50"/>
      <c r="DB166" s="50"/>
      <c r="DC166" s="50"/>
      <c r="DD166" s="50"/>
      <c r="DE166" s="50"/>
      <c r="DF166" s="50"/>
      <c r="DG166" s="50"/>
      <c r="DH166" s="50"/>
      <c r="DI166" s="50"/>
      <c r="DJ166" s="50"/>
      <c r="DK166" s="50"/>
      <c r="DL166" s="50"/>
      <c r="DM166" s="50"/>
      <c r="DN166" s="50"/>
      <c r="DO166" s="50"/>
      <c r="DP166" s="50"/>
      <c r="DQ166" s="50"/>
      <c r="DR166" s="50"/>
      <c r="DS166" s="50"/>
      <c r="DT166" s="50"/>
      <c r="DU166" s="50"/>
      <c r="DV166" s="50"/>
      <c r="DW166" s="50"/>
      <c r="DX166" s="50"/>
      <c r="DY166" s="50"/>
      <c r="DZ166" s="50"/>
      <c r="EA166" s="50"/>
      <c r="EB166" s="50"/>
      <c r="EC166" s="50"/>
      <c r="ED166" s="50"/>
      <c r="EE166" s="50"/>
      <c r="EF166" s="50"/>
      <c r="EG166" s="50"/>
      <c r="EH166" s="50"/>
      <c r="EI166" s="50"/>
      <c r="EJ166" s="50"/>
      <c r="EK166" s="50"/>
      <c r="EL166" s="50"/>
      <c r="EM166" s="50"/>
      <c r="EN166" s="50"/>
      <c r="EO166" s="50"/>
      <c r="EP166" s="50"/>
      <c r="EQ166" s="50"/>
      <c r="ER166" s="50"/>
      <c r="ES166" s="50"/>
      <c r="ET166" s="50"/>
      <c r="EU166" s="50"/>
      <c r="EV166" s="50"/>
      <c r="EW166" s="50"/>
      <c r="EX166" s="50"/>
      <c r="EY166" s="50"/>
      <c r="EZ166" s="50"/>
      <c r="FA166" s="50"/>
      <c r="FB166" s="50"/>
      <c r="FC166" s="50"/>
      <c r="FD166" s="50"/>
      <c r="FE166" s="50"/>
      <c r="FF166" s="50"/>
      <c r="FG166" s="50"/>
      <c r="FH166" s="50"/>
      <c r="FI166" s="50"/>
      <c r="FJ166" s="50"/>
      <c r="FK166" s="50"/>
      <c r="FL166" s="50"/>
      <c r="FM166" s="50"/>
      <c r="FN166" s="50"/>
      <c r="FO166" s="50"/>
      <c r="FP166" s="50"/>
      <c r="FQ166" s="50"/>
    </row>
    <row r="167" spans="1:173" ht="47.5" customHeight="1">
      <c r="A167" s="21"/>
      <c r="B167" s="21">
        <v>124</v>
      </c>
      <c r="C167" s="16"/>
      <c r="D167" s="21"/>
      <c r="E167" s="69" t="s">
        <v>213</v>
      </c>
      <c r="F167" s="69" t="s">
        <v>212</v>
      </c>
      <c r="G167" s="69" t="s">
        <v>211</v>
      </c>
      <c r="H167" s="29">
        <v>45778</v>
      </c>
      <c r="I167" s="29"/>
      <c r="J167" s="29"/>
      <c r="K167" s="54">
        <f>J167-I167</f>
        <v>0</v>
      </c>
      <c r="L167" s="47" t="s">
        <v>39</v>
      </c>
      <c r="M167" s="105" t="s">
        <v>38</v>
      </c>
      <c r="N167" s="25" t="s">
        <v>59</v>
      </c>
      <c r="O167" s="23" t="s">
        <v>50</v>
      </c>
      <c r="P167" s="23" t="s">
        <v>12</v>
      </c>
      <c r="Q167" s="16" t="s">
        <v>93</v>
      </c>
      <c r="R167" s="23" t="s">
        <v>209</v>
      </c>
      <c r="S167" s="23" t="s">
        <v>210</v>
      </c>
      <c r="T167" s="23" t="s">
        <v>209</v>
      </c>
      <c r="U167" s="23" t="s">
        <v>208</v>
      </c>
      <c r="V167" s="23"/>
      <c r="W167" s="23" t="s">
        <v>27</v>
      </c>
      <c r="X167" s="21" t="s">
        <v>5</v>
      </c>
      <c r="Y167" s="21" t="s">
        <v>4</v>
      </c>
      <c r="Z167" s="88" t="s">
        <v>18</v>
      </c>
      <c r="AA167" s="21">
        <v>3</v>
      </c>
      <c r="AB167" s="21">
        <v>5</v>
      </c>
      <c r="AC167" s="21">
        <v>1</v>
      </c>
      <c r="AD167" s="21">
        <v>5</v>
      </c>
      <c r="AE167" s="21">
        <v>1</v>
      </c>
      <c r="AF167" s="21">
        <v>3</v>
      </c>
      <c r="AG167" s="21">
        <v>3</v>
      </c>
      <c r="AH167" s="22">
        <f>(AA167*$AA$2)+(AB167*$AB$2)+(AC167*$AC$2)+(AD167*$AD$2)+(AE167*$AE$2)+(AF167*$AF$2)+(AG167*$AG$2)</f>
        <v>315</v>
      </c>
      <c r="AI167" s="21">
        <v>3</v>
      </c>
      <c r="AJ167" s="21">
        <v>3</v>
      </c>
      <c r="AK167" s="21">
        <v>1</v>
      </c>
      <c r="AL167" s="21">
        <v>3</v>
      </c>
      <c r="AM167" s="21">
        <v>1</v>
      </c>
      <c r="AN167" s="21">
        <v>1</v>
      </c>
      <c r="AO167" s="21">
        <v>1</v>
      </c>
      <c r="AP167" s="21">
        <f>(AI167*$AI$2)+(AJ167*$AJ$2)+(AK167*$AK$2)+(AL167*$AL$2)+(AM167*$AM$2)+(AN167*$AN$2)+(AO167*$AO$2)</f>
        <v>195</v>
      </c>
      <c r="AQ167" s="21">
        <f>AP167+AH167</f>
        <v>510</v>
      </c>
      <c r="AR167" s="80"/>
      <c r="AS167" s="80"/>
      <c r="AT167" s="18"/>
      <c r="AU167" s="17"/>
      <c r="AV167" s="17"/>
      <c r="AW167" s="17"/>
      <c r="AX167" s="17"/>
      <c r="AY167" s="17"/>
      <c r="AZ167" s="17"/>
      <c r="BA167" s="17"/>
      <c r="BB167" s="17"/>
      <c r="BC167" s="17"/>
      <c r="BD167" s="52">
        <f>SUM(AX167:BC167)</f>
        <v>0</v>
      </c>
      <c r="BE167" s="16"/>
      <c r="BF167" s="104"/>
      <c r="BG167" s="16" t="s">
        <v>0</v>
      </c>
      <c r="BH167" s="51"/>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c r="CO167" s="50"/>
      <c r="CP167" s="50"/>
      <c r="CQ167" s="50"/>
      <c r="CR167" s="50"/>
      <c r="CS167" s="50"/>
      <c r="CT167" s="50"/>
      <c r="CU167" s="50"/>
      <c r="CV167" s="50"/>
      <c r="CW167" s="50"/>
      <c r="CX167" s="50"/>
      <c r="CY167" s="50"/>
      <c r="CZ167" s="50"/>
      <c r="DA167" s="50"/>
      <c r="DB167" s="50"/>
      <c r="DC167" s="50"/>
      <c r="DD167" s="50"/>
      <c r="DE167" s="50"/>
      <c r="DF167" s="50"/>
      <c r="DG167" s="50"/>
      <c r="DH167" s="50"/>
      <c r="DI167" s="50"/>
      <c r="DJ167" s="50"/>
      <c r="DK167" s="50"/>
      <c r="DL167" s="50"/>
      <c r="DM167" s="50"/>
      <c r="DN167" s="50"/>
      <c r="DO167" s="50"/>
      <c r="DP167" s="50"/>
      <c r="DQ167" s="50"/>
      <c r="DR167" s="50"/>
      <c r="DS167" s="50"/>
      <c r="DT167" s="50"/>
      <c r="DU167" s="50"/>
      <c r="DV167" s="50"/>
      <c r="DW167" s="50"/>
      <c r="DX167" s="50"/>
      <c r="DY167" s="50"/>
      <c r="DZ167" s="50"/>
      <c r="EA167" s="50"/>
      <c r="EB167" s="50"/>
      <c r="EC167" s="50"/>
      <c r="ED167" s="50"/>
      <c r="EE167" s="50"/>
      <c r="EF167" s="50"/>
      <c r="EG167" s="50"/>
      <c r="EH167" s="50"/>
      <c r="EI167" s="50"/>
      <c r="EJ167" s="50"/>
      <c r="EK167" s="50"/>
      <c r="EL167" s="50"/>
      <c r="EM167" s="50"/>
      <c r="EN167" s="50"/>
      <c r="EO167" s="50"/>
      <c r="EP167" s="50"/>
      <c r="EQ167" s="50"/>
      <c r="ER167" s="50"/>
      <c r="ES167" s="50"/>
      <c r="ET167" s="50"/>
      <c r="EU167" s="50"/>
      <c r="EV167" s="50"/>
      <c r="EW167" s="50"/>
      <c r="EX167" s="50"/>
      <c r="EY167" s="50"/>
      <c r="EZ167" s="50"/>
      <c r="FA167" s="50"/>
      <c r="FB167" s="50"/>
      <c r="FC167" s="50"/>
      <c r="FD167" s="50"/>
      <c r="FE167" s="50"/>
      <c r="FF167" s="50"/>
      <c r="FG167" s="50"/>
      <c r="FH167" s="50"/>
      <c r="FI167" s="50"/>
      <c r="FJ167" s="50"/>
      <c r="FK167" s="50"/>
      <c r="FL167" s="50"/>
      <c r="FM167" s="50"/>
      <c r="FN167" s="50"/>
      <c r="FO167" s="50"/>
      <c r="FP167" s="50"/>
      <c r="FQ167" s="50"/>
    </row>
    <row r="168" spans="1:173" ht="39" customHeight="1">
      <c r="A168" s="21"/>
      <c r="B168" s="21"/>
      <c r="C168" s="32"/>
      <c r="D168" s="21"/>
      <c r="E168" s="69" t="s">
        <v>207</v>
      </c>
      <c r="F168" s="69" t="s">
        <v>206</v>
      </c>
      <c r="G168" s="69"/>
      <c r="H168" s="29">
        <v>45964</v>
      </c>
      <c r="I168" s="29"/>
      <c r="J168" s="29"/>
      <c r="K168" s="54"/>
      <c r="L168" s="47" t="s">
        <v>39</v>
      </c>
      <c r="M168" s="26"/>
      <c r="N168" s="25"/>
      <c r="O168" s="68" t="s">
        <v>50</v>
      </c>
      <c r="P168" s="23" t="s">
        <v>12</v>
      </c>
      <c r="Q168" s="23"/>
      <c r="R168" s="23"/>
      <c r="S168" s="23" t="s">
        <v>49</v>
      </c>
      <c r="T168" s="23"/>
      <c r="U168" s="23"/>
      <c r="V168" s="23"/>
      <c r="W168" s="23"/>
      <c r="X168" s="21"/>
      <c r="Y168" s="21"/>
      <c r="Z168" s="23"/>
      <c r="AA168" s="22">
        <v>5</v>
      </c>
      <c r="AB168" s="22">
        <v>5</v>
      </c>
      <c r="AC168" s="22">
        <v>5</v>
      </c>
      <c r="AD168" s="22">
        <v>5</v>
      </c>
      <c r="AE168" s="22">
        <v>5</v>
      </c>
      <c r="AF168" s="22">
        <v>3</v>
      </c>
      <c r="AG168" s="22">
        <v>3</v>
      </c>
      <c r="AH168" s="22">
        <f>(AA168*$AA$2)+(AB168*$AB$2)+(AC168*$AC$2)+(AD168*$AD$2)+(AE168*$AE$2)+(AF168*$AF$2)+(AG168*$AG$2)</f>
        <v>465</v>
      </c>
      <c r="AI168" s="22">
        <v>5</v>
      </c>
      <c r="AJ168" s="22">
        <v>5</v>
      </c>
      <c r="AK168" s="22">
        <v>5</v>
      </c>
      <c r="AL168" s="22">
        <v>5</v>
      </c>
      <c r="AM168" s="22">
        <v>3</v>
      </c>
      <c r="AN168" s="22">
        <v>3</v>
      </c>
      <c r="AO168" s="22">
        <v>5</v>
      </c>
      <c r="AP168" s="21">
        <f>(AI168*$AI$2)+(AJ168*$AJ$2)+(AK168*$AK$2)+(AL168*$AL$2)+(AM168*$AM$2)+(AN168*$AN$2)+(AO168*$AO$2)</f>
        <v>465</v>
      </c>
      <c r="AQ168" s="21">
        <f>AP168+AH168</f>
        <v>930</v>
      </c>
      <c r="AR168" s="20"/>
      <c r="AS168" s="20" t="s">
        <v>48</v>
      </c>
      <c r="AT168" s="18"/>
      <c r="AU168" s="17"/>
      <c r="AV168" s="17"/>
      <c r="AW168" s="17"/>
      <c r="AX168" s="17"/>
      <c r="AY168" s="17"/>
      <c r="AZ168" s="17"/>
      <c r="BA168" s="17"/>
      <c r="BB168" s="17"/>
      <c r="BC168" s="17"/>
      <c r="BD168" s="17"/>
      <c r="BE168" s="17"/>
      <c r="BF168" s="17"/>
      <c r="BG168" s="16"/>
      <c r="BH168" s="48"/>
    </row>
    <row r="169" spans="1:173" s="50" customFormat="1" ht="80" customHeight="1">
      <c r="A169" s="21"/>
      <c r="B169" s="21"/>
      <c r="C169" s="32"/>
      <c r="D169" s="21"/>
      <c r="E169" s="69" t="s">
        <v>205</v>
      </c>
      <c r="F169" s="69" t="s">
        <v>204</v>
      </c>
      <c r="G169" s="69"/>
      <c r="H169" s="29"/>
      <c r="I169" s="29">
        <v>45931</v>
      </c>
      <c r="J169" s="29">
        <v>46006</v>
      </c>
      <c r="K169" s="17">
        <f ca="1">TODAY()-I169</f>
        <v>75</v>
      </c>
      <c r="L169" s="72" t="s">
        <v>14</v>
      </c>
      <c r="M169" s="26" t="s">
        <v>38</v>
      </c>
      <c r="N169" s="25"/>
      <c r="O169" s="23" t="s">
        <v>32</v>
      </c>
      <c r="P169" s="23" t="s">
        <v>33</v>
      </c>
      <c r="Q169" s="23" t="s">
        <v>93</v>
      </c>
      <c r="R169" s="23"/>
      <c r="S169" s="23" t="s">
        <v>203</v>
      </c>
      <c r="T169" s="23" t="s">
        <v>203</v>
      </c>
      <c r="U169" s="23"/>
      <c r="V169" s="23" t="s">
        <v>66</v>
      </c>
      <c r="W169" s="23" t="s">
        <v>202</v>
      </c>
      <c r="X169" s="21" t="s">
        <v>5</v>
      </c>
      <c r="Y169" s="21" t="s">
        <v>126</v>
      </c>
      <c r="Z169" s="23" t="s">
        <v>18</v>
      </c>
      <c r="AA169" s="22">
        <v>3</v>
      </c>
      <c r="AB169" s="22">
        <v>5</v>
      </c>
      <c r="AC169" s="22">
        <v>1</v>
      </c>
      <c r="AD169" s="22">
        <v>1</v>
      </c>
      <c r="AE169" s="22">
        <v>1</v>
      </c>
      <c r="AF169" s="22">
        <v>3</v>
      </c>
      <c r="AG169" s="22">
        <v>3</v>
      </c>
      <c r="AH169" s="70">
        <f>(AA169*$AA$2)+(AB169*$AB$2)+(AC169*$AC$2)+(AD169*$AD$2)+(AE169*$AE$2)+(AF169*$AF$2)+(AG169*$AG$2)</f>
        <v>255</v>
      </c>
      <c r="AI169" s="22">
        <v>5</v>
      </c>
      <c r="AJ169" s="22">
        <v>5</v>
      </c>
      <c r="AK169" s="22">
        <v>2</v>
      </c>
      <c r="AL169" s="22">
        <v>3</v>
      </c>
      <c r="AM169" s="22">
        <v>3</v>
      </c>
      <c r="AN169" s="22">
        <v>5</v>
      </c>
      <c r="AO169" s="22">
        <v>5</v>
      </c>
      <c r="AP169" s="20">
        <f>(AI169*$AI$2)+(AJ169*$AJ$2)+(AK169*$AK$2)+(AL169*$AL$2)+(AM169*$AM$2)+(AN169*$AN$2)+(AO169*$AO$2)</f>
        <v>420</v>
      </c>
      <c r="AQ169" s="23">
        <f>AP169+AH169</f>
        <v>675</v>
      </c>
      <c r="AR169" s="20" t="s">
        <v>201</v>
      </c>
      <c r="AS169" s="20"/>
      <c r="AT169" s="18"/>
      <c r="AU169" s="17"/>
      <c r="AV169" s="17"/>
      <c r="AW169" s="17"/>
      <c r="AX169" s="17"/>
      <c r="AY169" s="17"/>
      <c r="AZ169" s="17"/>
      <c r="BA169" s="17"/>
      <c r="BB169" s="17"/>
      <c r="BC169" s="17"/>
      <c r="BD169" s="17"/>
      <c r="BE169" s="17"/>
      <c r="BF169" s="28"/>
      <c r="BG169" s="16" t="s">
        <v>53</v>
      </c>
      <c r="BH169" s="48"/>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row>
    <row r="170" spans="1:173" s="50" customFormat="1" ht="35" customHeight="1">
      <c r="A170" s="21"/>
      <c r="B170" s="21">
        <v>25</v>
      </c>
      <c r="C170" s="21"/>
      <c r="D170" s="21"/>
      <c r="E170" s="69" t="s">
        <v>200</v>
      </c>
      <c r="F170" s="69" t="s">
        <v>199</v>
      </c>
      <c r="G170" s="69"/>
      <c r="H170" s="29">
        <v>45777</v>
      </c>
      <c r="I170" s="73">
        <v>45777</v>
      </c>
      <c r="J170" s="73" t="s">
        <v>107</v>
      </c>
      <c r="K170" s="17"/>
      <c r="L170" s="72" t="s">
        <v>112</v>
      </c>
      <c r="M170" s="16" t="s">
        <v>196</v>
      </c>
      <c r="N170" s="16" t="s">
        <v>59</v>
      </c>
      <c r="O170" s="23" t="s">
        <v>50</v>
      </c>
      <c r="P170" s="23" t="s">
        <v>33</v>
      </c>
      <c r="Q170" s="23" t="s">
        <v>57</v>
      </c>
      <c r="R170" s="23"/>
      <c r="S170" s="23" t="s">
        <v>195</v>
      </c>
      <c r="T170" s="23" t="s">
        <v>168</v>
      </c>
      <c r="U170" s="23" t="s">
        <v>6</v>
      </c>
      <c r="V170" s="23" t="s">
        <v>56</v>
      </c>
      <c r="W170" s="23" t="s">
        <v>6</v>
      </c>
      <c r="X170" s="21" t="s">
        <v>5</v>
      </c>
      <c r="Y170" s="23" t="s">
        <v>126</v>
      </c>
      <c r="Z170" s="23" t="s">
        <v>3</v>
      </c>
      <c r="AA170" s="23">
        <v>5</v>
      </c>
      <c r="AB170" s="23">
        <v>5</v>
      </c>
      <c r="AC170" s="23">
        <v>4</v>
      </c>
      <c r="AD170" s="23">
        <v>5</v>
      </c>
      <c r="AE170" s="23">
        <v>0</v>
      </c>
      <c r="AF170" s="23">
        <v>3</v>
      </c>
      <c r="AG170" s="23">
        <v>5</v>
      </c>
      <c r="AH170" s="22">
        <f>(AA170*$AA$2)+(AB170*$AB$2)+(AC170*$AC$2)+(AD170*$AD$2)+(AE170*$AE$2)+(AF170*$AF$2)+(AG170*$AG$2)</f>
        <v>405</v>
      </c>
      <c r="AI170" s="23">
        <v>5</v>
      </c>
      <c r="AJ170" s="23">
        <v>5</v>
      </c>
      <c r="AK170" s="23">
        <v>4</v>
      </c>
      <c r="AL170" s="23">
        <v>1</v>
      </c>
      <c r="AM170" s="23">
        <v>1</v>
      </c>
      <c r="AN170" s="23">
        <v>3</v>
      </c>
      <c r="AO170" s="23">
        <v>1</v>
      </c>
      <c r="AP170" s="21">
        <f>(AI170*$AI$2)+(AJ170*$AJ$2)+(AK170*$AK$2)+(AL170*$AL$2)+(AM170*$AM$2)+(AN170*$AN$2)+(AO170*$AO$2)</f>
        <v>300</v>
      </c>
      <c r="AQ170" s="21">
        <f>AP170+AH170</f>
        <v>705</v>
      </c>
      <c r="AR170" s="20" t="s">
        <v>194</v>
      </c>
      <c r="AS170" s="80" t="s">
        <v>193</v>
      </c>
      <c r="AT170" s="23" t="s">
        <v>166</v>
      </c>
      <c r="AU170" s="23"/>
      <c r="AV170" s="102" t="s">
        <v>54</v>
      </c>
      <c r="AW170" s="23"/>
      <c r="AX170" s="23"/>
      <c r="AY170" s="23"/>
      <c r="AZ170" s="23"/>
      <c r="BA170" s="23"/>
      <c r="BB170" s="23"/>
      <c r="BC170" s="23"/>
      <c r="BD170" s="52">
        <f>SUM(AX170:BC170)</f>
        <v>0</v>
      </c>
      <c r="BE170" s="23"/>
      <c r="BF170" s="23"/>
      <c r="BG170" s="16" t="s">
        <v>192</v>
      </c>
      <c r="BH170" s="5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row>
    <row r="171" spans="1:173" ht="117">
      <c r="A171" s="21"/>
      <c r="B171" s="21">
        <v>25</v>
      </c>
      <c r="C171" s="21"/>
      <c r="D171" s="21"/>
      <c r="E171" s="69" t="s">
        <v>198</v>
      </c>
      <c r="F171" s="69" t="s">
        <v>197</v>
      </c>
      <c r="G171" s="69"/>
      <c r="H171" s="29">
        <v>45777</v>
      </c>
      <c r="I171" s="73">
        <v>45777</v>
      </c>
      <c r="J171" s="73" t="s">
        <v>107</v>
      </c>
      <c r="K171" s="103"/>
      <c r="L171" s="72" t="s">
        <v>112</v>
      </c>
      <c r="M171" s="16" t="s">
        <v>196</v>
      </c>
      <c r="N171" s="16" t="s">
        <v>59</v>
      </c>
      <c r="O171" s="23" t="s">
        <v>50</v>
      </c>
      <c r="P171" s="23" t="s">
        <v>33</v>
      </c>
      <c r="Q171" s="23" t="s">
        <v>57</v>
      </c>
      <c r="R171" s="23"/>
      <c r="S171" s="23" t="s">
        <v>195</v>
      </c>
      <c r="T171" s="23" t="s">
        <v>168</v>
      </c>
      <c r="U171" s="23" t="s">
        <v>6</v>
      </c>
      <c r="V171" s="23" t="s">
        <v>56</v>
      </c>
      <c r="W171" s="23" t="s">
        <v>6</v>
      </c>
      <c r="X171" s="21" t="s">
        <v>5</v>
      </c>
      <c r="Y171" s="23" t="s">
        <v>126</v>
      </c>
      <c r="Z171" s="23" t="s">
        <v>3</v>
      </c>
      <c r="AA171" s="23">
        <v>5</v>
      </c>
      <c r="AB171" s="23">
        <v>5</v>
      </c>
      <c r="AC171" s="23">
        <v>4</v>
      </c>
      <c r="AD171" s="23">
        <v>5</v>
      </c>
      <c r="AE171" s="23">
        <v>0</v>
      </c>
      <c r="AF171" s="23">
        <v>3</v>
      </c>
      <c r="AG171" s="23">
        <v>5</v>
      </c>
      <c r="AH171" s="22">
        <f>(AA171*$AA$2)+(AB171*$AB$2)+(AC171*$AC$2)+(AD171*$AD$2)+(AE171*$AE$2)+(AF171*$AF$2)+(AG171*$AG$2)</f>
        <v>405</v>
      </c>
      <c r="AI171" s="23">
        <v>5</v>
      </c>
      <c r="AJ171" s="23">
        <v>5</v>
      </c>
      <c r="AK171" s="23">
        <v>4</v>
      </c>
      <c r="AL171" s="23">
        <v>1</v>
      </c>
      <c r="AM171" s="23">
        <v>1</v>
      </c>
      <c r="AN171" s="23">
        <v>3</v>
      </c>
      <c r="AO171" s="23">
        <v>1</v>
      </c>
      <c r="AP171" s="21">
        <f>(AI171*$AI$2)+(AJ171*$AJ$2)+(AK171*$AK$2)+(AL171*$AL$2)+(AM171*$AM$2)+(AN171*$AN$2)+(AO171*$AO$2)</f>
        <v>300</v>
      </c>
      <c r="AQ171" s="21">
        <f>AP171+AH171</f>
        <v>705</v>
      </c>
      <c r="AR171" s="20" t="s">
        <v>194</v>
      </c>
      <c r="AS171" s="80" t="s">
        <v>193</v>
      </c>
      <c r="AT171" s="23" t="s">
        <v>166</v>
      </c>
      <c r="AU171" s="23"/>
      <c r="AV171" s="102" t="s">
        <v>54</v>
      </c>
      <c r="AW171" s="23"/>
      <c r="AX171" s="23"/>
      <c r="AY171" s="23"/>
      <c r="AZ171" s="23"/>
      <c r="BA171" s="23"/>
      <c r="BB171" s="23"/>
      <c r="BC171" s="23"/>
      <c r="BD171" s="52">
        <f>SUM(AX171:BC171)</f>
        <v>0</v>
      </c>
      <c r="BE171" s="23"/>
      <c r="BF171" s="23"/>
      <c r="BG171" s="16" t="s">
        <v>192</v>
      </c>
      <c r="BH171" s="51"/>
    </row>
    <row r="172" spans="1:173" ht="43.5" customHeight="1">
      <c r="A172" s="21"/>
      <c r="B172" s="21"/>
      <c r="C172" s="32"/>
      <c r="D172" s="21"/>
      <c r="E172" s="69" t="s">
        <v>191</v>
      </c>
      <c r="F172" s="69" t="s">
        <v>190</v>
      </c>
      <c r="G172" s="69"/>
      <c r="H172" s="29">
        <v>45964</v>
      </c>
      <c r="I172" s="29"/>
      <c r="J172" s="29"/>
      <c r="K172" s="76"/>
      <c r="L172" s="61" t="s">
        <v>39</v>
      </c>
      <c r="M172" s="26" t="s">
        <v>38</v>
      </c>
      <c r="N172" s="25"/>
      <c r="O172" s="68" t="s">
        <v>45</v>
      </c>
      <c r="P172" s="23" t="s">
        <v>12</v>
      </c>
      <c r="Q172" s="23" t="s">
        <v>44</v>
      </c>
      <c r="R172" s="23"/>
      <c r="S172" s="23"/>
      <c r="T172" s="23"/>
      <c r="U172" s="23" t="s">
        <v>22</v>
      </c>
      <c r="V172" s="23" t="s">
        <v>28</v>
      </c>
      <c r="W172" s="23"/>
      <c r="X172" s="21" t="s">
        <v>5</v>
      </c>
      <c r="Y172" s="21"/>
      <c r="Z172" s="67" t="s">
        <v>18</v>
      </c>
      <c r="AA172" s="22">
        <v>5</v>
      </c>
      <c r="AB172" s="22">
        <v>5</v>
      </c>
      <c r="AC172" s="22">
        <v>5</v>
      </c>
      <c r="AD172" s="22">
        <v>5</v>
      </c>
      <c r="AE172" s="22">
        <v>2</v>
      </c>
      <c r="AF172" s="22">
        <v>3</v>
      </c>
      <c r="AG172" s="22">
        <v>3</v>
      </c>
      <c r="AH172" s="22">
        <f>(AA172*$AA$2)+(AB172*$AB$2)+(AC172*$AC$2)+(AD172*$AD$2)+(AE172*$AE$2)+(AF172*$AF$2)+(AG172*$AG$2)</f>
        <v>420</v>
      </c>
      <c r="AI172" s="22"/>
      <c r="AJ172" s="22"/>
      <c r="AK172" s="22"/>
      <c r="AL172" s="22"/>
      <c r="AM172" s="22"/>
      <c r="AN172" s="22"/>
      <c r="AO172" s="22"/>
      <c r="AP172" s="21">
        <f>(AI172*$AI$2)+(AJ172*$AJ$2)+(AK172*$AK$2)+(AL172*$AL$2)+(AM172*$AM$2)+(AN172*$AN$2)+(AO172*$AO$2)</f>
        <v>0</v>
      </c>
      <c r="AQ172" s="21">
        <f>AP172+AH172</f>
        <v>420</v>
      </c>
      <c r="AR172" s="20"/>
      <c r="AS172" s="20"/>
      <c r="AT172" s="18"/>
      <c r="AU172" s="17"/>
      <c r="AV172" s="17"/>
      <c r="AW172" s="17"/>
      <c r="AX172" s="17"/>
      <c r="AY172" s="17"/>
      <c r="AZ172" s="17"/>
      <c r="BA172" s="17"/>
      <c r="BB172" s="17"/>
      <c r="BC172" s="17"/>
      <c r="BD172" s="17"/>
      <c r="BE172" s="17"/>
      <c r="BF172" s="17"/>
      <c r="BG172" s="16"/>
      <c r="BH172" s="48"/>
    </row>
    <row r="173" spans="1:173" ht="39">
      <c r="A173" s="21"/>
      <c r="B173" s="21">
        <v>117</v>
      </c>
      <c r="C173" s="21"/>
      <c r="D173" s="21"/>
      <c r="E173" s="69" t="s">
        <v>189</v>
      </c>
      <c r="F173" s="69" t="s">
        <v>188</v>
      </c>
      <c r="G173" s="69"/>
      <c r="H173" s="29" t="s">
        <v>107</v>
      </c>
      <c r="I173" s="29">
        <v>45658</v>
      </c>
      <c r="J173" s="54" t="s">
        <v>107</v>
      </c>
      <c r="K173" s="54"/>
      <c r="L173" s="47" t="s">
        <v>70</v>
      </c>
      <c r="M173" s="26" t="s">
        <v>187</v>
      </c>
      <c r="N173" s="26"/>
      <c r="O173" s="23" t="s">
        <v>13</v>
      </c>
      <c r="P173" s="23" t="s">
        <v>68</v>
      </c>
      <c r="Q173" s="23" t="s">
        <v>11</v>
      </c>
      <c r="R173" s="23" t="s">
        <v>4</v>
      </c>
      <c r="S173" s="23" t="s">
        <v>186</v>
      </c>
      <c r="T173" s="23" t="s">
        <v>186</v>
      </c>
      <c r="U173" s="23" t="s">
        <v>185</v>
      </c>
      <c r="V173" s="23" t="s">
        <v>184</v>
      </c>
      <c r="W173" s="23"/>
      <c r="X173" s="21" t="s">
        <v>5</v>
      </c>
      <c r="Y173" s="21" t="s">
        <v>126</v>
      </c>
      <c r="Z173" s="23"/>
      <c r="AA173" s="21">
        <v>3</v>
      </c>
      <c r="AB173" s="21">
        <v>5</v>
      </c>
      <c r="AC173" s="21">
        <v>5</v>
      </c>
      <c r="AD173" s="21">
        <v>5</v>
      </c>
      <c r="AE173" s="21">
        <v>1</v>
      </c>
      <c r="AF173" s="21">
        <v>3</v>
      </c>
      <c r="AG173" s="21">
        <v>5</v>
      </c>
      <c r="AH173" s="22">
        <f>(AA173*$AA$2)+(AB173*$AB$2)+(AC173*$AC$2)+(AD173*$AD$2)+(AE173*$AE$2)+(AF173*$AF$2)+(AG173*$AG$2)</f>
        <v>405</v>
      </c>
      <c r="AI173" s="21"/>
      <c r="AJ173" s="21"/>
      <c r="AK173" s="21"/>
      <c r="AL173" s="21"/>
      <c r="AM173" s="21"/>
      <c r="AN173" s="21"/>
      <c r="AO173" s="21"/>
      <c r="AP173" s="21">
        <f>(AI173*$AI$2)+(AJ173*$AJ$2)+(AK173*$AK$2)+(AL173*$AL$2)+(AM173*$AM$2)+(AN173*$AN$2)+(AO173*$AO$2)</f>
        <v>0</v>
      </c>
      <c r="AQ173" s="21">
        <f>AP173+AH173</f>
        <v>405</v>
      </c>
      <c r="AR173" s="20" t="s">
        <v>183</v>
      </c>
      <c r="AS173" s="20"/>
      <c r="AT173" s="18"/>
      <c r="AU173" s="17"/>
      <c r="AV173" s="17"/>
      <c r="AW173" s="17"/>
      <c r="AX173" s="17"/>
      <c r="AY173" s="17"/>
      <c r="AZ173" s="17"/>
      <c r="BA173" s="17"/>
      <c r="BB173" s="17"/>
      <c r="BC173" s="17"/>
      <c r="BD173" s="52">
        <f>SUM(AX173:BC173)</f>
        <v>0</v>
      </c>
      <c r="BE173" s="17"/>
      <c r="BF173" s="77"/>
      <c r="BG173" s="16" t="s">
        <v>0</v>
      </c>
      <c r="BH173" s="48"/>
    </row>
    <row r="174" spans="1:173" ht="143">
      <c r="A174" s="21" t="s">
        <v>182</v>
      </c>
      <c r="B174" s="21">
        <v>118</v>
      </c>
      <c r="C174" s="21"/>
      <c r="D174" s="21"/>
      <c r="E174" s="69" t="s">
        <v>181</v>
      </c>
      <c r="F174" s="69" t="s">
        <v>180</v>
      </c>
      <c r="G174" s="69"/>
      <c r="H174" s="29">
        <v>45627</v>
      </c>
      <c r="I174" s="29"/>
      <c r="J174" s="54"/>
      <c r="K174" s="54"/>
      <c r="L174" s="47" t="s">
        <v>39</v>
      </c>
      <c r="M174" s="26" t="s">
        <v>60</v>
      </c>
      <c r="N174" s="26"/>
      <c r="O174" s="23" t="s">
        <v>50</v>
      </c>
      <c r="P174" s="23" t="s">
        <v>12</v>
      </c>
      <c r="Q174" s="23" t="s">
        <v>179</v>
      </c>
      <c r="R174" s="23"/>
      <c r="S174" s="23" t="s">
        <v>128</v>
      </c>
      <c r="T174" s="23" t="s">
        <v>178</v>
      </c>
      <c r="U174" s="23" t="s">
        <v>177</v>
      </c>
      <c r="V174" s="23" t="s">
        <v>66</v>
      </c>
      <c r="W174" s="22" t="s">
        <v>138</v>
      </c>
      <c r="X174" s="21" t="s">
        <v>5</v>
      </c>
      <c r="Y174" s="21" t="s">
        <v>126</v>
      </c>
      <c r="Z174" s="23" t="s">
        <v>18</v>
      </c>
      <c r="AA174" s="21">
        <v>5</v>
      </c>
      <c r="AB174" s="21">
        <v>5</v>
      </c>
      <c r="AC174" s="21">
        <v>3</v>
      </c>
      <c r="AD174" s="21">
        <v>5</v>
      </c>
      <c r="AE174" s="21">
        <v>3</v>
      </c>
      <c r="AF174" s="21">
        <v>3</v>
      </c>
      <c r="AG174" s="21">
        <v>3</v>
      </c>
      <c r="AH174" s="22">
        <f>(AA174*$AA$2)+(AB174*$AB$2)+(AC174*$AC$2)+(AD174*$AD$2)+(AE174*$AE$2)+(AF174*$AF$2)+(AG174*$AG$2)</f>
        <v>405</v>
      </c>
      <c r="AI174" s="21">
        <v>5</v>
      </c>
      <c r="AJ174" s="21">
        <v>5</v>
      </c>
      <c r="AK174" s="21">
        <v>3</v>
      </c>
      <c r="AL174" s="21">
        <v>3</v>
      </c>
      <c r="AM174" s="21">
        <v>1</v>
      </c>
      <c r="AN174" s="21">
        <v>5</v>
      </c>
      <c r="AO174" s="21">
        <v>3</v>
      </c>
      <c r="AP174" s="21">
        <f>(AI174*$AI$2)+(AJ174*$AJ$2)+(AK174*$AK$2)+(AL174*$AL$2)+(AM174*$AM$2)+(AN174*$AN$2)+(AO174*$AO$2)</f>
        <v>375</v>
      </c>
      <c r="AQ174" s="21">
        <f>AP174+AH174</f>
        <v>780</v>
      </c>
      <c r="AR174" s="69" t="s">
        <v>176</v>
      </c>
      <c r="AS174" s="69" t="s">
        <v>175</v>
      </c>
      <c r="AT174" s="18"/>
      <c r="AU174" s="17"/>
      <c r="AV174" s="17" t="s">
        <v>174</v>
      </c>
      <c r="AW174" s="17"/>
      <c r="AX174" s="17"/>
      <c r="AY174" s="17"/>
      <c r="AZ174" s="17"/>
      <c r="BA174" s="17"/>
      <c r="BB174" s="17"/>
      <c r="BC174" s="17"/>
      <c r="BD174" s="52">
        <f>SUM(AX174:BC174)</f>
        <v>0</v>
      </c>
      <c r="BE174" s="17"/>
      <c r="BF174" s="17"/>
      <c r="BG174" s="16" t="s">
        <v>0</v>
      </c>
      <c r="BH174" s="101"/>
    </row>
    <row r="175" spans="1:173" ht="48.5" customHeight="1">
      <c r="A175" s="21"/>
      <c r="B175" s="21"/>
      <c r="C175" s="16"/>
      <c r="D175" s="100"/>
      <c r="E175" s="69" t="s">
        <v>173</v>
      </c>
      <c r="F175" s="69" t="s">
        <v>172</v>
      </c>
      <c r="G175" s="69" t="s">
        <v>171</v>
      </c>
      <c r="H175" s="99">
        <v>45940</v>
      </c>
      <c r="I175" s="99">
        <v>45962</v>
      </c>
      <c r="J175" s="99">
        <v>45976</v>
      </c>
      <c r="K175" s="98">
        <f>J175-I175</f>
        <v>14</v>
      </c>
      <c r="L175" s="72" t="s">
        <v>14</v>
      </c>
      <c r="M175" s="70" t="s">
        <v>60</v>
      </c>
      <c r="N175" s="25" t="s">
        <v>59</v>
      </c>
      <c r="O175" s="23" t="s">
        <v>32</v>
      </c>
      <c r="P175" s="23" t="s">
        <v>58</v>
      </c>
      <c r="Q175" s="16" t="s">
        <v>57</v>
      </c>
      <c r="R175" s="23" t="s">
        <v>170</v>
      </c>
      <c r="S175" s="23" t="s">
        <v>169</v>
      </c>
      <c r="T175" s="23" t="s">
        <v>168</v>
      </c>
      <c r="U175" s="23" t="s">
        <v>8</v>
      </c>
      <c r="V175" s="23" t="s">
        <v>56</v>
      </c>
      <c r="W175" s="23" t="s">
        <v>6</v>
      </c>
      <c r="X175" s="21" t="s">
        <v>5</v>
      </c>
      <c r="Y175" s="7" t="s">
        <v>4</v>
      </c>
      <c r="Z175" s="88" t="s">
        <v>18</v>
      </c>
      <c r="AA175" s="21">
        <v>5</v>
      </c>
      <c r="AB175" s="21">
        <v>5</v>
      </c>
      <c r="AC175" s="21">
        <v>4</v>
      </c>
      <c r="AD175" s="21">
        <v>5</v>
      </c>
      <c r="AE175" s="21">
        <v>3</v>
      </c>
      <c r="AF175" s="21">
        <v>3</v>
      </c>
      <c r="AG175" s="21">
        <v>5</v>
      </c>
      <c r="AH175" s="22">
        <f>(AA175*$AA$2)+(AB175*$AB$2)+(AC175*$AC$2)+(AD175*$AD$2)+(AE175*$AE$2)+(AF175*$AF$2)+(AG175*$AG$2)</f>
        <v>450</v>
      </c>
      <c r="AI175" s="21">
        <v>5</v>
      </c>
      <c r="AJ175" s="21">
        <v>5</v>
      </c>
      <c r="AK175" s="21">
        <v>4</v>
      </c>
      <c r="AL175" s="21">
        <v>3</v>
      </c>
      <c r="AM175" s="21">
        <v>3</v>
      </c>
      <c r="AN175" s="21">
        <v>5</v>
      </c>
      <c r="AO175" s="21">
        <v>5</v>
      </c>
      <c r="AP175" s="21">
        <f>(AI175*$AI$2)+(AJ175*$AJ$2)+(AK175*$AK$2)+(AL175*$AL$2)+(AM175*$AM$2)+(AN175*$AN$2)+(AO175*$AO$2)</f>
        <v>450</v>
      </c>
      <c r="AQ175" s="21">
        <f>AP175+AH175</f>
        <v>900</v>
      </c>
      <c r="AR175" s="80" t="s">
        <v>167</v>
      </c>
      <c r="AS175" s="80"/>
      <c r="AT175" s="18" t="s">
        <v>166</v>
      </c>
      <c r="AU175" s="17"/>
      <c r="AV175" s="23" t="s">
        <v>54</v>
      </c>
      <c r="AW175" s="17"/>
      <c r="AX175" s="17"/>
      <c r="AY175" s="17"/>
      <c r="AZ175" s="17"/>
      <c r="BA175" s="17"/>
      <c r="BB175" s="17"/>
      <c r="BC175" s="17"/>
      <c r="BD175" s="52">
        <f>SUM(AX175:BC175)</f>
        <v>0</v>
      </c>
      <c r="BE175" s="17"/>
      <c r="BF175" s="17"/>
      <c r="BG175" s="16" t="s">
        <v>53</v>
      </c>
      <c r="BH175" s="51"/>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c r="CO175" s="50"/>
      <c r="CP175" s="50"/>
      <c r="CQ175" s="50"/>
      <c r="CR175" s="50"/>
      <c r="CS175" s="50"/>
      <c r="CT175" s="50"/>
      <c r="CU175" s="50"/>
      <c r="CV175" s="50"/>
      <c r="CW175" s="50"/>
      <c r="CX175" s="50"/>
      <c r="CY175" s="50"/>
      <c r="CZ175" s="50"/>
      <c r="DA175" s="50"/>
      <c r="DB175" s="50"/>
      <c r="DC175" s="50"/>
      <c r="DD175" s="50"/>
      <c r="DE175" s="50"/>
      <c r="DF175" s="50"/>
      <c r="DG175" s="50"/>
      <c r="DH175" s="50"/>
      <c r="DI175" s="50"/>
      <c r="DJ175" s="50"/>
      <c r="DK175" s="50"/>
      <c r="DL175" s="50"/>
      <c r="DM175" s="50"/>
      <c r="DN175" s="50"/>
      <c r="DO175" s="50"/>
      <c r="DP175" s="50"/>
      <c r="DQ175" s="50"/>
      <c r="DR175" s="50"/>
      <c r="DS175" s="50"/>
      <c r="DT175" s="50"/>
      <c r="DU175" s="50"/>
      <c r="DV175" s="50"/>
      <c r="DW175" s="50"/>
      <c r="DX175" s="50"/>
      <c r="DY175" s="50"/>
      <c r="DZ175" s="50"/>
      <c r="EA175" s="50"/>
      <c r="EB175" s="50"/>
      <c r="EC175" s="50"/>
      <c r="ED175" s="50"/>
      <c r="EE175" s="50"/>
      <c r="EF175" s="50"/>
      <c r="EG175" s="50"/>
      <c r="EH175" s="50"/>
      <c r="EI175" s="50"/>
      <c r="EJ175" s="50"/>
      <c r="EK175" s="50"/>
      <c r="EL175" s="50"/>
      <c r="EM175" s="50"/>
      <c r="EN175" s="50"/>
      <c r="EO175" s="50"/>
      <c r="EP175" s="50"/>
      <c r="EQ175" s="50"/>
      <c r="ER175" s="50"/>
      <c r="ES175" s="50"/>
      <c r="ET175" s="50"/>
      <c r="EU175" s="50"/>
      <c r="EV175" s="50"/>
      <c r="EW175" s="50"/>
      <c r="EX175" s="50"/>
      <c r="EY175" s="50"/>
      <c r="EZ175" s="50"/>
      <c r="FA175" s="50"/>
      <c r="FB175" s="50"/>
      <c r="FC175" s="50"/>
      <c r="FD175" s="50"/>
      <c r="FE175" s="50"/>
      <c r="FF175" s="50"/>
      <c r="FG175" s="50"/>
      <c r="FH175" s="50"/>
      <c r="FI175" s="50"/>
      <c r="FJ175" s="50"/>
      <c r="FK175" s="50"/>
      <c r="FL175" s="50"/>
      <c r="FM175" s="50"/>
      <c r="FN175" s="50"/>
      <c r="FO175" s="50"/>
      <c r="FP175" s="50"/>
      <c r="FQ175" s="50"/>
    </row>
    <row r="176" spans="1:173" ht="49.5" customHeight="1">
      <c r="A176" s="21"/>
      <c r="B176" s="21">
        <v>130</v>
      </c>
      <c r="C176" s="97"/>
      <c r="D176" s="21"/>
      <c r="E176" s="69" t="s">
        <v>165</v>
      </c>
      <c r="F176" s="69" t="s">
        <v>164</v>
      </c>
      <c r="G176" s="69"/>
      <c r="H176" s="29"/>
      <c r="I176" s="29"/>
      <c r="J176" s="54"/>
      <c r="K176" s="54"/>
      <c r="L176" s="47" t="s">
        <v>39</v>
      </c>
      <c r="M176" s="26" t="s">
        <v>38</v>
      </c>
      <c r="N176" s="25"/>
      <c r="O176" s="68" t="s">
        <v>69</v>
      </c>
      <c r="P176" s="23" t="s">
        <v>12</v>
      </c>
      <c r="Q176" s="23" t="s">
        <v>151</v>
      </c>
      <c r="R176" s="23"/>
      <c r="S176" s="23" t="s">
        <v>67</v>
      </c>
      <c r="T176" s="23" t="s">
        <v>67</v>
      </c>
      <c r="U176" s="23"/>
      <c r="V176" s="23" t="s">
        <v>163</v>
      </c>
      <c r="W176" s="23"/>
      <c r="X176" s="21" t="s">
        <v>5</v>
      </c>
      <c r="Y176" s="21" t="s">
        <v>126</v>
      </c>
      <c r="Z176" s="23" t="s">
        <v>18</v>
      </c>
      <c r="AA176" s="21">
        <v>4</v>
      </c>
      <c r="AB176" s="21">
        <v>5</v>
      </c>
      <c r="AC176" s="21">
        <v>3</v>
      </c>
      <c r="AD176" s="21">
        <v>5</v>
      </c>
      <c r="AE176" s="21">
        <v>3</v>
      </c>
      <c r="AF176" s="21">
        <v>3</v>
      </c>
      <c r="AG176" s="21">
        <v>3</v>
      </c>
      <c r="AH176" s="22">
        <f>(AA176*$AA$2)+(AB176*$AB$2)+(AC176*$AC$2)+(AD176*$AD$2)+(AE176*$AE$2)+(AF176*$AF$2)+(AG176*$AG$2)</f>
        <v>390</v>
      </c>
      <c r="AI176" s="21">
        <v>5</v>
      </c>
      <c r="AJ176" s="21">
        <v>5</v>
      </c>
      <c r="AK176" s="21">
        <v>2</v>
      </c>
      <c r="AL176" s="21">
        <v>5</v>
      </c>
      <c r="AM176" s="21">
        <v>3</v>
      </c>
      <c r="AN176" s="21">
        <v>4</v>
      </c>
      <c r="AO176" s="21">
        <v>3</v>
      </c>
      <c r="AP176" s="21">
        <f>(AI176*$AI$2)+(AJ176*$AJ$2)+(AK176*$AK$2)+(AL176*$AL$2)+(AM176*$AM$2)+(AN176*$AN$2)+(AO176*$AO$2)</f>
        <v>405</v>
      </c>
      <c r="AQ176" s="21">
        <f>AP176+AH176</f>
        <v>795</v>
      </c>
      <c r="AR176" s="20" t="s">
        <v>48</v>
      </c>
      <c r="AS176" s="20"/>
      <c r="AT176" s="18"/>
      <c r="AU176" s="17"/>
      <c r="AV176" s="23" t="s">
        <v>162</v>
      </c>
      <c r="AW176" s="23"/>
      <c r="AX176" s="23"/>
      <c r="AY176" s="23"/>
      <c r="AZ176" s="23"/>
      <c r="BA176" s="23"/>
      <c r="BB176" s="23"/>
      <c r="BC176" s="23"/>
      <c r="BD176" s="52">
        <f>SUM(AX176:BC176)</f>
        <v>0</v>
      </c>
      <c r="BE176" s="17"/>
      <c r="BF176" s="17"/>
      <c r="BG176" s="16" t="s">
        <v>0</v>
      </c>
      <c r="BH176" s="51" t="s">
        <v>86</v>
      </c>
      <c r="BI176" s="50"/>
      <c r="BJ176" s="50"/>
    </row>
    <row r="177" spans="1:173" s="50" customFormat="1" ht="62.5" customHeight="1">
      <c r="A177" s="21"/>
      <c r="B177" s="21"/>
      <c r="C177" s="32"/>
      <c r="D177" s="21"/>
      <c r="E177" s="69" t="s">
        <v>161</v>
      </c>
      <c r="F177" s="69" t="s">
        <v>160</v>
      </c>
      <c r="G177" s="69" t="s">
        <v>159</v>
      </c>
      <c r="H177" s="29"/>
      <c r="I177" s="29"/>
      <c r="J177" s="29"/>
      <c r="K177" s="76"/>
      <c r="L177" s="61" t="s">
        <v>39</v>
      </c>
      <c r="M177" s="26" t="s">
        <v>38</v>
      </c>
      <c r="N177" s="25"/>
      <c r="O177" s="68" t="s">
        <v>69</v>
      </c>
      <c r="P177" s="23" t="s">
        <v>12</v>
      </c>
      <c r="Q177" s="23"/>
      <c r="R177" s="23"/>
      <c r="S177" s="23" t="s">
        <v>37</v>
      </c>
      <c r="T177" s="23"/>
      <c r="U177" s="23"/>
      <c r="V177" s="23" t="s">
        <v>28</v>
      </c>
      <c r="W177" s="23"/>
      <c r="X177" s="21" t="s">
        <v>5</v>
      </c>
      <c r="Y177" s="21"/>
      <c r="Z177" s="67" t="s">
        <v>18</v>
      </c>
      <c r="AA177" s="22">
        <v>5</v>
      </c>
      <c r="AB177" s="22">
        <v>5</v>
      </c>
      <c r="AC177" s="22">
        <v>4</v>
      </c>
      <c r="AD177" s="22">
        <v>5</v>
      </c>
      <c r="AE177" s="22">
        <v>1</v>
      </c>
      <c r="AF177" s="22">
        <v>3</v>
      </c>
      <c r="AG177" s="22">
        <v>3</v>
      </c>
      <c r="AH177" s="22">
        <f>(AA177*$AA$2)+(AB177*$AB$2)+(AC177*$AC$2)+(AD177*$AD$2)+(AE177*$AE$2)+(AF177*$AF$2)+(AG177*$AG$2)</f>
        <v>390</v>
      </c>
      <c r="AI177" s="22">
        <v>5</v>
      </c>
      <c r="AJ177" s="22">
        <v>5</v>
      </c>
      <c r="AK177" s="22">
        <v>3</v>
      </c>
      <c r="AL177" s="22">
        <v>5</v>
      </c>
      <c r="AM177" s="22">
        <v>4</v>
      </c>
      <c r="AN177" s="22">
        <v>5</v>
      </c>
      <c r="AO177" s="22">
        <v>4</v>
      </c>
      <c r="AP177" s="21">
        <f>(AI177*$AI$2)+(AJ177*$AJ$2)+(AK177*$AK$2)+(AL177*$AL$2)+(AM177*$AM$2)+(AN177*$AN$2)+(AO177*$AO$2)</f>
        <v>465</v>
      </c>
      <c r="AQ177" s="21">
        <f>AP177+AH177</f>
        <v>855</v>
      </c>
      <c r="AR177" s="20" t="s">
        <v>48</v>
      </c>
      <c r="AS177" s="20"/>
      <c r="AT177" s="18"/>
      <c r="AU177" s="17"/>
      <c r="AV177" s="17"/>
      <c r="AW177" s="17"/>
      <c r="AX177" s="17"/>
      <c r="AY177" s="17"/>
      <c r="AZ177" s="17"/>
      <c r="BA177" s="17"/>
      <c r="BB177" s="17"/>
      <c r="BC177" s="17"/>
      <c r="BD177" s="17"/>
      <c r="BE177" s="17"/>
      <c r="BF177" s="28"/>
      <c r="BG177" s="16"/>
      <c r="BH177" s="48"/>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row>
    <row r="178" spans="1:173" s="50" customFormat="1" ht="100" customHeight="1">
      <c r="A178" s="21"/>
      <c r="B178" s="21"/>
      <c r="C178" s="32"/>
      <c r="D178" s="21"/>
      <c r="E178" s="69" t="s">
        <v>158</v>
      </c>
      <c r="F178" s="69" t="s">
        <v>157</v>
      </c>
      <c r="G178" s="69" t="s">
        <v>156</v>
      </c>
      <c r="H178" s="29"/>
      <c r="I178" s="29"/>
      <c r="J178" s="29"/>
      <c r="K178" s="76"/>
      <c r="L178" s="61" t="s">
        <v>39</v>
      </c>
      <c r="M178" s="26" t="s">
        <v>38</v>
      </c>
      <c r="N178" s="25"/>
      <c r="O178" s="68" t="s">
        <v>69</v>
      </c>
      <c r="P178" s="23" t="s">
        <v>12</v>
      </c>
      <c r="Q178" s="23"/>
      <c r="R178" s="23"/>
      <c r="S178" s="23" t="s">
        <v>37</v>
      </c>
      <c r="T178" s="23"/>
      <c r="U178" s="23"/>
      <c r="V178" s="23" t="s">
        <v>28</v>
      </c>
      <c r="W178" s="23"/>
      <c r="X178" s="21" t="s">
        <v>5</v>
      </c>
      <c r="Y178" s="21"/>
      <c r="Z178" s="67" t="s">
        <v>18</v>
      </c>
      <c r="AA178" s="22">
        <v>5</v>
      </c>
      <c r="AB178" s="22">
        <v>5</v>
      </c>
      <c r="AC178" s="22">
        <v>4</v>
      </c>
      <c r="AD178" s="22">
        <v>5</v>
      </c>
      <c r="AE178" s="22">
        <v>1</v>
      </c>
      <c r="AF178" s="22">
        <v>3</v>
      </c>
      <c r="AG178" s="22">
        <v>3</v>
      </c>
      <c r="AH178" s="22">
        <f>(AA178*$AA$2)+(AB178*$AB$2)+(AC178*$AC$2)+(AD178*$AD$2)+(AE178*$AE$2)+(AF178*$AF$2)+(AG178*$AG$2)</f>
        <v>390</v>
      </c>
      <c r="AI178" s="22"/>
      <c r="AJ178" s="22"/>
      <c r="AK178" s="22"/>
      <c r="AL178" s="22"/>
      <c r="AM178" s="22"/>
      <c r="AN178" s="22"/>
      <c r="AO178" s="22"/>
      <c r="AP178" s="21">
        <f>(AI178*$AI$2)+(AJ178*$AJ$2)+(AK178*$AK$2)+(AL178*$AL$2)+(AM178*$AM$2)+(AN178*$AN$2)+(AO178*$AO$2)</f>
        <v>0</v>
      </c>
      <c r="AQ178" s="21">
        <f>AP178+AH178</f>
        <v>390</v>
      </c>
      <c r="AR178" s="20" t="s">
        <v>48</v>
      </c>
      <c r="AS178" s="20"/>
      <c r="AT178" s="18"/>
      <c r="AU178" s="17"/>
      <c r="AV178" s="17"/>
      <c r="AW178" s="17"/>
      <c r="AX178" s="17"/>
      <c r="AY178" s="17"/>
      <c r="AZ178" s="17"/>
      <c r="BA178" s="17"/>
      <c r="BB178" s="17"/>
      <c r="BC178" s="17"/>
      <c r="BD178" s="17"/>
      <c r="BE178" s="17"/>
      <c r="BF178" s="17"/>
      <c r="BG178" s="16"/>
      <c r="BH178" s="48"/>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row>
    <row r="179" spans="1:173" ht="39">
      <c r="A179" s="21"/>
      <c r="B179" s="21"/>
      <c r="C179" s="32"/>
      <c r="D179" s="21"/>
      <c r="E179" s="69" t="s">
        <v>155</v>
      </c>
      <c r="F179" s="69" t="s">
        <v>154</v>
      </c>
      <c r="G179" s="69"/>
      <c r="H179" s="29">
        <v>45931</v>
      </c>
      <c r="I179" s="29"/>
      <c r="J179" s="29"/>
      <c r="K179" s="26"/>
      <c r="L179" s="47" t="s">
        <v>39</v>
      </c>
      <c r="M179" s="26" t="s">
        <v>38</v>
      </c>
      <c r="N179" s="25"/>
      <c r="O179" s="23" t="s">
        <v>50</v>
      </c>
      <c r="P179" s="23" t="s">
        <v>12</v>
      </c>
      <c r="Q179" s="23"/>
      <c r="R179" s="23"/>
      <c r="S179" s="23" t="s">
        <v>21</v>
      </c>
      <c r="T179" s="23" t="s">
        <v>49</v>
      </c>
      <c r="U179" s="23"/>
      <c r="V179" s="23"/>
      <c r="W179" s="23"/>
      <c r="X179" s="21" t="s">
        <v>5</v>
      </c>
      <c r="Y179" s="21"/>
      <c r="Z179" s="23"/>
      <c r="AA179" s="22">
        <v>4</v>
      </c>
      <c r="AB179" s="22">
        <v>5</v>
      </c>
      <c r="AC179" s="22">
        <v>2</v>
      </c>
      <c r="AD179" s="22">
        <v>5</v>
      </c>
      <c r="AE179" s="22">
        <v>1</v>
      </c>
      <c r="AF179" s="22">
        <v>3</v>
      </c>
      <c r="AG179" s="22">
        <v>5</v>
      </c>
      <c r="AH179" s="22">
        <f>(AA179*$AA$2)+(AB179*$AB$2)+(AC179*$AC$2)+(AD179*$AD$2)+(AE179*$AE$2)+(AF179*$AF$2)+(AG179*$AG$2)</f>
        <v>375</v>
      </c>
      <c r="AI179" s="22">
        <v>1</v>
      </c>
      <c r="AJ179" s="22">
        <v>2</v>
      </c>
      <c r="AK179" s="22">
        <v>2</v>
      </c>
      <c r="AL179" s="22">
        <v>3</v>
      </c>
      <c r="AM179" s="22">
        <v>1</v>
      </c>
      <c r="AN179" s="22">
        <v>1</v>
      </c>
      <c r="AO179" s="22">
        <v>3</v>
      </c>
      <c r="AP179" s="21">
        <f>(AI179*$AI$2)+(AJ179*$AJ$2)+(AK179*$AK$2)+(AL179*$AL$2)+(AM179*$AM$2)+(AN179*$AN$2)+(AO179*$AO$2)</f>
        <v>195</v>
      </c>
      <c r="AQ179" s="21">
        <f>AP179+AH179</f>
        <v>570</v>
      </c>
      <c r="AR179" s="20" t="s">
        <v>48</v>
      </c>
      <c r="AS179" s="20"/>
      <c r="AT179" s="18"/>
      <c r="AU179" s="17"/>
      <c r="AV179" s="17"/>
      <c r="AW179" s="17"/>
      <c r="AX179" s="17"/>
      <c r="AY179" s="17"/>
      <c r="AZ179" s="17"/>
      <c r="BA179" s="17"/>
      <c r="BB179" s="17"/>
      <c r="BC179" s="17"/>
      <c r="BD179" s="17"/>
      <c r="BE179" s="17"/>
      <c r="BF179" s="77"/>
      <c r="BG179" s="16" t="s">
        <v>0</v>
      </c>
      <c r="BH179" s="48"/>
    </row>
    <row r="180" spans="1:173" ht="41" customHeight="1">
      <c r="A180" s="21"/>
      <c r="B180" s="21"/>
      <c r="C180" s="32"/>
      <c r="D180" s="21"/>
      <c r="E180" s="69" t="s">
        <v>153</v>
      </c>
      <c r="F180" s="69" t="s">
        <v>152</v>
      </c>
      <c r="G180" s="69"/>
      <c r="H180" s="29">
        <v>45964</v>
      </c>
      <c r="I180" s="29"/>
      <c r="J180" s="29"/>
      <c r="K180" s="76"/>
      <c r="L180" s="61" t="s">
        <v>39</v>
      </c>
      <c r="M180" s="26" t="s">
        <v>38</v>
      </c>
      <c r="N180" s="25"/>
      <c r="O180" s="68" t="s">
        <v>69</v>
      </c>
      <c r="P180" s="23" t="s">
        <v>12</v>
      </c>
      <c r="Q180" s="23" t="s">
        <v>151</v>
      </c>
      <c r="R180" s="23"/>
      <c r="S180" s="23"/>
      <c r="T180" s="23"/>
      <c r="U180" s="23"/>
      <c r="V180" s="23" t="s">
        <v>28</v>
      </c>
      <c r="W180" s="23"/>
      <c r="X180" s="21" t="s">
        <v>5</v>
      </c>
      <c r="Y180" s="21"/>
      <c r="Z180" s="67" t="s">
        <v>18</v>
      </c>
      <c r="AA180" s="22">
        <v>3</v>
      </c>
      <c r="AB180" s="22">
        <v>5</v>
      </c>
      <c r="AC180" s="22">
        <v>2</v>
      </c>
      <c r="AD180" s="22">
        <v>5</v>
      </c>
      <c r="AE180" s="22">
        <v>3</v>
      </c>
      <c r="AF180" s="22">
        <v>3</v>
      </c>
      <c r="AG180" s="22">
        <v>3</v>
      </c>
      <c r="AH180" s="22">
        <f>(AA180*$AA$2)+(AB180*$AB$2)+(AC180*$AC$2)+(AD180*$AD$2)+(AE180*$AE$2)+(AF180*$AF$2)+(AG180*$AG$2)</f>
        <v>360</v>
      </c>
      <c r="AI180" s="22">
        <v>5</v>
      </c>
      <c r="AJ180" s="22">
        <v>5</v>
      </c>
      <c r="AK180" s="22">
        <v>1</v>
      </c>
      <c r="AL180" s="22">
        <v>5</v>
      </c>
      <c r="AM180" s="22">
        <v>3</v>
      </c>
      <c r="AN180" s="22">
        <v>3</v>
      </c>
      <c r="AO180" s="22">
        <v>3</v>
      </c>
      <c r="AP180" s="21">
        <f>(AI180*$AI$2)+(AJ180*$AJ$2)+(AK180*$AK$2)+(AL180*$AL$2)+(AM180*$AM$2)+(AN180*$AN$2)+(AO180*$AO$2)</f>
        <v>375</v>
      </c>
      <c r="AQ180" s="21">
        <f>AP180+AH180</f>
        <v>735</v>
      </c>
      <c r="AR180" s="20" t="s">
        <v>48</v>
      </c>
      <c r="AS180" s="20"/>
      <c r="AT180" s="18"/>
      <c r="AU180" s="17"/>
      <c r="AV180" s="17"/>
      <c r="AW180" s="17"/>
      <c r="AX180" s="17"/>
      <c r="AY180" s="17"/>
      <c r="AZ180" s="17"/>
      <c r="BA180" s="17"/>
      <c r="BB180" s="17"/>
      <c r="BC180" s="17"/>
      <c r="BD180" s="17"/>
      <c r="BE180" s="17"/>
      <c r="BF180" s="17"/>
      <c r="BG180" s="16"/>
      <c r="BH180" s="48"/>
    </row>
    <row r="181" spans="1:173" ht="46" customHeight="1">
      <c r="A181" s="21"/>
      <c r="B181" s="21">
        <v>127</v>
      </c>
      <c r="C181" s="21"/>
      <c r="D181" s="21"/>
      <c r="E181" s="69" t="s">
        <v>150</v>
      </c>
      <c r="F181" s="69" t="s">
        <v>149</v>
      </c>
      <c r="G181" s="69"/>
      <c r="H181" s="29">
        <v>45658</v>
      </c>
      <c r="I181" s="29"/>
      <c r="J181" s="54"/>
      <c r="K181" s="29"/>
      <c r="L181" s="47" t="s">
        <v>39</v>
      </c>
      <c r="M181" s="25" t="s">
        <v>60</v>
      </c>
      <c r="N181" s="25"/>
      <c r="O181" s="23" t="s">
        <v>50</v>
      </c>
      <c r="P181" s="23" t="s">
        <v>12</v>
      </c>
      <c r="Q181" s="23" t="s">
        <v>148</v>
      </c>
      <c r="R181" s="23"/>
      <c r="S181" s="23" t="s">
        <v>92</v>
      </c>
      <c r="T181" s="23" t="s">
        <v>92</v>
      </c>
      <c r="U181" s="23" t="s">
        <v>107</v>
      </c>
      <c r="V181" s="23" t="s">
        <v>99</v>
      </c>
      <c r="W181" s="23"/>
      <c r="X181" s="21" t="s">
        <v>5</v>
      </c>
      <c r="Y181" s="21" t="s">
        <v>126</v>
      </c>
      <c r="Z181" s="23" t="s">
        <v>147</v>
      </c>
      <c r="AA181" s="21">
        <v>5</v>
      </c>
      <c r="AB181" s="21">
        <v>5</v>
      </c>
      <c r="AC181" s="21">
        <v>3</v>
      </c>
      <c r="AD181" s="21">
        <v>5</v>
      </c>
      <c r="AE181" s="21">
        <v>1</v>
      </c>
      <c r="AF181" s="21">
        <v>1</v>
      </c>
      <c r="AG181" s="21">
        <v>3</v>
      </c>
      <c r="AH181" s="22">
        <f>(AA181*$AA$2)+(AB181*$AB$2)+(AC181*$AC$2)+(AD181*$AD$2)+(AE181*$AE$2)+(AF181*$AF$2)+(AG181*$AG$2)</f>
        <v>345</v>
      </c>
      <c r="AI181" s="21"/>
      <c r="AJ181" s="21"/>
      <c r="AK181" s="21"/>
      <c r="AL181" s="21"/>
      <c r="AM181" s="21"/>
      <c r="AN181" s="21"/>
      <c r="AO181" s="21"/>
      <c r="AP181" s="21">
        <f>(AI181*$AI$2)+(AJ181*$AJ$2)+(AK181*$AK$2)+(AL181*$AL$2)+(AM181*$AM$2)+(AN181*$AN$2)+(AO181*$AO$2)</f>
        <v>0</v>
      </c>
      <c r="AQ181" s="21">
        <f>AP181+AH181</f>
        <v>345</v>
      </c>
      <c r="AR181" s="20" t="s">
        <v>48</v>
      </c>
      <c r="AS181" s="80"/>
      <c r="AT181" s="18"/>
      <c r="AU181" s="21"/>
      <c r="AV181" s="21"/>
      <c r="AW181" s="21"/>
      <c r="AX181" s="21"/>
      <c r="AY181" s="21"/>
      <c r="AZ181" s="21"/>
      <c r="BA181" s="21"/>
      <c r="BB181" s="21"/>
      <c r="BC181" s="21"/>
      <c r="BD181" s="52">
        <f>SUM(AX181:BC181)</f>
        <v>0</v>
      </c>
      <c r="BE181" s="21"/>
      <c r="BF181" s="37"/>
      <c r="BG181" s="16" t="s">
        <v>0</v>
      </c>
      <c r="BH181" s="48"/>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c r="CO181" s="50"/>
      <c r="CP181" s="50"/>
      <c r="CQ181" s="50"/>
      <c r="CR181" s="50"/>
      <c r="CS181" s="50"/>
      <c r="CT181" s="50"/>
      <c r="CU181" s="50"/>
      <c r="CV181" s="50"/>
      <c r="CW181" s="50"/>
      <c r="CX181" s="50"/>
      <c r="CY181" s="50"/>
      <c r="CZ181" s="50"/>
      <c r="DA181" s="50"/>
      <c r="DB181" s="50"/>
      <c r="DC181" s="50"/>
      <c r="DD181" s="50"/>
      <c r="DE181" s="50"/>
      <c r="DF181" s="50"/>
      <c r="DG181" s="50"/>
      <c r="DH181" s="50"/>
      <c r="DI181" s="50"/>
      <c r="DJ181" s="50"/>
      <c r="DK181" s="50"/>
      <c r="DL181" s="50"/>
      <c r="DM181" s="50"/>
      <c r="DN181" s="50"/>
      <c r="DO181" s="50"/>
      <c r="DP181" s="50"/>
      <c r="DQ181" s="50"/>
      <c r="DR181" s="50"/>
      <c r="DS181" s="50"/>
      <c r="DT181" s="50"/>
      <c r="DU181" s="50"/>
      <c r="DV181" s="50"/>
      <c r="DW181" s="50"/>
      <c r="DX181" s="50"/>
      <c r="DY181" s="50"/>
      <c r="DZ181" s="50"/>
      <c r="EA181" s="50"/>
      <c r="EB181" s="50"/>
      <c r="EC181" s="50"/>
      <c r="ED181" s="50"/>
      <c r="EE181" s="50"/>
      <c r="EF181" s="50"/>
      <c r="EG181" s="50"/>
      <c r="EH181" s="50"/>
      <c r="EI181" s="50"/>
      <c r="EJ181" s="50"/>
      <c r="EK181" s="50"/>
      <c r="EL181" s="50"/>
      <c r="EM181" s="50"/>
      <c r="EN181" s="50"/>
      <c r="EO181" s="50"/>
      <c r="EP181" s="50"/>
      <c r="EQ181" s="50"/>
      <c r="ER181" s="50"/>
      <c r="ES181" s="50"/>
      <c r="ET181" s="50"/>
      <c r="EU181" s="50"/>
      <c r="EV181" s="50"/>
      <c r="EW181" s="50"/>
      <c r="EX181" s="50"/>
      <c r="EY181" s="50"/>
      <c r="EZ181" s="50"/>
      <c r="FA181" s="50"/>
      <c r="FB181" s="50"/>
      <c r="FC181" s="50"/>
      <c r="FD181" s="50"/>
      <c r="FE181" s="50"/>
      <c r="FF181" s="50"/>
      <c r="FG181" s="50"/>
      <c r="FH181" s="50"/>
      <c r="FI181" s="50"/>
      <c r="FJ181" s="50"/>
      <c r="FK181" s="50"/>
      <c r="FL181" s="50"/>
      <c r="FM181" s="50"/>
      <c r="FN181" s="50"/>
      <c r="FO181" s="50"/>
      <c r="FP181" s="50"/>
    </row>
    <row r="182" spans="1:173" ht="26">
      <c r="A182" s="91"/>
      <c r="B182" s="91"/>
      <c r="C182" s="96"/>
      <c r="D182" s="91"/>
      <c r="E182" s="69" t="s">
        <v>146</v>
      </c>
      <c r="F182" s="69" t="s">
        <v>145</v>
      </c>
      <c r="G182" s="69"/>
      <c r="H182" s="95">
        <v>45964</v>
      </c>
      <c r="I182" s="95"/>
      <c r="J182" s="95"/>
      <c r="K182" s="94"/>
      <c r="L182" s="93" t="s">
        <v>39</v>
      </c>
      <c r="M182" s="75" t="s">
        <v>6</v>
      </c>
      <c r="N182" s="81"/>
      <c r="O182" s="92" t="s">
        <v>69</v>
      </c>
      <c r="P182" s="74" t="s">
        <v>12</v>
      </c>
      <c r="Q182" s="74" t="s">
        <v>129</v>
      </c>
      <c r="R182" s="74"/>
      <c r="S182" s="74" t="s">
        <v>10</v>
      </c>
      <c r="T182" s="74" t="s">
        <v>49</v>
      </c>
      <c r="U182" s="74"/>
      <c r="V182" s="74" t="s">
        <v>7</v>
      </c>
      <c r="W182" s="74"/>
      <c r="X182" s="21" t="s">
        <v>5</v>
      </c>
      <c r="Y182" s="91" t="s">
        <v>126</v>
      </c>
      <c r="Z182" s="74" t="s">
        <v>6</v>
      </c>
      <c r="AA182" s="84">
        <v>4</v>
      </c>
      <c r="AB182" s="84">
        <v>5</v>
      </c>
      <c r="AC182" s="84">
        <v>3</v>
      </c>
      <c r="AD182" s="84">
        <v>5</v>
      </c>
      <c r="AE182" s="84">
        <v>1</v>
      </c>
      <c r="AF182" s="84">
        <v>1</v>
      </c>
      <c r="AG182" s="84">
        <v>3</v>
      </c>
      <c r="AH182" s="84">
        <f>(AA182*$AA$2)+(AB182*$AB$2)+(AC182*$AC$2)+(AD182*$AD$2)+(AE182*$AE$2)+(AF182*$AF$2)+(AG182*$AG$2)</f>
        <v>330</v>
      </c>
      <c r="AI182" s="84">
        <v>3</v>
      </c>
      <c r="AJ182" s="84">
        <v>3</v>
      </c>
      <c r="AK182" s="84">
        <v>2</v>
      </c>
      <c r="AL182" s="84">
        <v>5</v>
      </c>
      <c r="AM182" s="84">
        <v>3</v>
      </c>
      <c r="AN182" s="84">
        <v>3</v>
      </c>
      <c r="AO182" s="84">
        <v>4</v>
      </c>
      <c r="AP182" s="21">
        <f>(AI182*$AI$2)+(AJ182*$AJ$2)+(AK182*$AK$2)+(AL182*$AL$2)+(AM182*$AM$2)+(AN182*$AN$2)+(AO182*$AO$2)</f>
        <v>345</v>
      </c>
      <c r="AQ182" s="91">
        <f>AP182+AH182</f>
        <v>675</v>
      </c>
      <c r="AR182" s="90" t="s">
        <v>144</v>
      </c>
      <c r="AS182" s="90"/>
      <c r="AT182" s="89"/>
      <c r="AU182" s="77"/>
      <c r="AV182" s="77"/>
      <c r="AW182" s="77"/>
      <c r="AX182" s="77"/>
      <c r="AY182" s="77"/>
      <c r="AZ182" s="77"/>
      <c r="BA182" s="77"/>
      <c r="BB182" s="77"/>
      <c r="BC182" s="77"/>
      <c r="BD182" s="77"/>
      <c r="BE182" s="77"/>
      <c r="BF182" s="77"/>
      <c r="BG182" s="16" t="s">
        <v>0</v>
      </c>
      <c r="BH182" s="48"/>
    </row>
    <row r="183" spans="1:173" s="48" customFormat="1" ht="52">
      <c r="A183" s="21" t="s">
        <v>143</v>
      </c>
      <c r="B183" s="21">
        <v>121</v>
      </c>
      <c r="C183" s="21"/>
      <c r="D183" s="21"/>
      <c r="E183" s="69" t="s">
        <v>142</v>
      </c>
      <c r="F183" s="69" t="s">
        <v>141</v>
      </c>
      <c r="G183" s="69"/>
      <c r="H183" s="29">
        <v>45627</v>
      </c>
      <c r="I183" s="29"/>
      <c r="J183" s="54"/>
      <c r="K183" s="54"/>
      <c r="L183" s="47" t="s">
        <v>112</v>
      </c>
      <c r="M183" s="75" t="s">
        <v>38</v>
      </c>
      <c r="N183" s="26"/>
      <c r="O183" s="23" t="s">
        <v>50</v>
      </c>
      <c r="P183" s="23" t="s">
        <v>12</v>
      </c>
      <c r="Q183" s="23" t="s">
        <v>129</v>
      </c>
      <c r="R183" s="23"/>
      <c r="S183" s="23" t="s">
        <v>128</v>
      </c>
      <c r="T183" s="23" t="s">
        <v>140</v>
      </c>
      <c r="U183" s="23" t="s">
        <v>139</v>
      </c>
      <c r="V183" s="74" t="s">
        <v>66</v>
      </c>
      <c r="W183" s="22" t="s">
        <v>138</v>
      </c>
      <c r="X183" s="21" t="s">
        <v>5</v>
      </c>
      <c r="Y183" s="21" t="s">
        <v>126</v>
      </c>
      <c r="Z183" s="22" t="s">
        <v>18</v>
      </c>
      <c r="AA183" s="21">
        <v>4</v>
      </c>
      <c r="AB183" s="21">
        <v>5</v>
      </c>
      <c r="AC183" s="21">
        <v>2</v>
      </c>
      <c r="AD183" s="21">
        <v>5</v>
      </c>
      <c r="AE183" s="21">
        <v>1</v>
      </c>
      <c r="AF183" s="21">
        <v>1</v>
      </c>
      <c r="AG183" s="21">
        <v>3</v>
      </c>
      <c r="AH183" s="22">
        <f>(AA183*$AA$2)+(AB183*$AB$2)+(AC183*$AC$2)+(AD183*$AD$2)+(AE183*$AE$2)+(AF183*$AF$2)+(AG183*$AG$2)</f>
        <v>315</v>
      </c>
      <c r="AI183" s="21"/>
      <c r="AJ183" s="21"/>
      <c r="AK183" s="21"/>
      <c r="AL183" s="21"/>
      <c r="AM183" s="21"/>
      <c r="AN183" s="21"/>
      <c r="AO183" s="21"/>
      <c r="AP183" s="21">
        <f>(AI183*$AI$2)+(AJ183*$AJ$2)+(AK183*$AK$2)+(AL183*$AL$2)+(AM183*$AM$2)+(AN183*$AN$2)+(AO183*$AO$2)</f>
        <v>0</v>
      </c>
      <c r="AQ183" s="21">
        <f>AP183+AH183</f>
        <v>315</v>
      </c>
      <c r="AR183" s="88" t="s">
        <v>137</v>
      </c>
      <c r="AS183" s="87" t="s">
        <v>136</v>
      </c>
      <c r="AT183" s="18"/>
      <c r="AU183" s="22"/>
      <c r="AV183" s="23" t="s">
        <v>135</v>
      </c>
      <c r="AW183" s="23"/>
      <c r="AX183" s="23"/>
      <c r="AY183" s="23"/>
      <c r="AZ183" s="23"/>
      <c r="BA183" s="23"/>
      <c r="BB183" s="23"/>
      <c r="BC183" s="23"/>
      <c r="BD183" s="52">
        <f>SUM(AX183:BC183)</f>
        <v>0</v>
      </c>
      <c r="BE183" s="22"/>
      <c r="BF183" s="22"/>
      <c r="BG183" s="16" t="s">
        <v>0</v>
      </c>
      <c r="BI183" s="49"/>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c r="CQ183" s="51"/>
      <c r="CR183" s="51"/>
      <c r="CS183" s="51"/>
      <c r="CT183" s="51"/>
      <c r="CU183" s="51"/>
      <c r="CV183" s="51"/>
      <c r="CW183" s="51"/>
      <c r="CX183" s="51"/>
      <c r="CY183" s="51"/>
      <c r="CZ183" s="51"/>
      <c r="DA183" s="51"/>
      <c r="DB183" s="51"/>
      <c r="DC183" s="51"/>
      <c r="DD183" s="51"/>
      <c r="DE183" s="51"/>
      <c r="DF183" s="51"/>
      <c r="DG183" s="51"/>
      <c r="DH183" s="51"/>
      <c r="DI183" s="51"/>
      <c r="DJ183" s="51"/>
      <c r="DK183" s="51"/>
      <c r="DL183" s="51"/>
      <c r="DM183" s="51"/>
      <c r="DN183" s="51"/>
      <c r="DO183" s="51"/>
      <c r="DP183" s="51"/>
      <c r="DQ183" s="51"/>
      <c r="DR183" s="51"/>
      <c r="DS183" s="51"/>
      <c r="DT183" s="51"/>
      <c r="DU183" s="51"/>
      <c r="DV183" s="51"/>
      <c r="DW183" s="51"/>
      <c r="DX183" s="51"/>
      <c r="DY183" s="51"/>
      <c r="DZ183" s="51"/>
      <c r="EA183" s="51"/>
      <c r="EB183" s="51"/>
      <c r="EC183" s="51"/>
      <c r="ED183" s="51"/>
      <c r="EE183" s="51"/>
      <c r="EF183" s="51"/>
      <c r="EG183" s="51"/>
      <c r="EH183" s="51"/>
      <c r="EI183" s="51"/>
      <c r="EJ183" s="51"/>
      <c r="EK183" s="51"/>
      <c r="EL183" s="51"/>
      <c r="EM183" s="51"/>
      <c r="EN183" s="51"/>
      <c r="EO183" s="51"/>
      <c r="EP183" s="51"/>
      <c r="EQ183" s="51"/>
      <c r="ER183" s="51"/>
      <c r="ES183" s="51"/>
      <c r="ET183" s="51"/>
      <c r="EU183" s="51"/>
      <c r="EV183" s="51"/>
      <c r="EW183" s="51"/>
      <c r="EX183" s="51"/>
      <c r="EY183" s="51"/>
      <c r="EZ183" s="51"/>
      <c r="FA183" s="51"/>
      <c r="FB183" s="51"/>
      <c r="FC183" s="51"/>
      <c r="FD183" s="51"/>
      <c r="FE183" s="51"/>
      <c r="FF183" s="51"/>
      <c r="FG183" s="51"/>
      <c r="FH183" s="51"/>
      <c r="FI183" s="51"/>
      <c r="FJ183" s="51"/>
      <c r="FK183" s="51"/>
      <c r="FL183" s="51"/>
      <c r="FM183" s="51"/>
      <c r="FN183" s="51"/>
      <c r="FO183" s="51"/>
      <c r="FP183" s="51"/>
      <c r="FQ183" s="51"/>
    </row>
    <row r="184" spans="1:173" s="48" customFormat="1" ht="26">
      <c r="A184" s="21"/>
      <c r="B184" s="21">
        <v>131</v>
      </c>
      <c r="C184" s="21"/>
      <c r="D184" s="21"/>
      <c r="E184" s="69" t="s">
        <v>134</v>
      </c>
      <c r="F184" s="69" t="s">
        <v>133</v>
      </c>
      <c r="G184" s="69"/>
      <c r="H184" s="29">
        <v>45723</v>
      </c>
      <c r="I184" s="86"/>
      <c r="J184" s="86"/>
      <c r="K184" s="54"/>
      <c r="L184" s="47" t="s">
        <v>39</v>
      </c>
      <c r="M184" s="85" t="s">
        <v>6</v>
      </c>
      <c r="N184" s="53"/>
      <c r="O184" s="25" t="s">
        <v>50</v>
      </c>
      <c r="P184" s="23" t="s">
        <v>12</v>
      </c>
      <c r="Q184" s="23"/>
      <c r="R184" s="23"/>
      <c r="S184" s="23" t="s">
        <v>10</v>
      </c>
      <c r="T184" s="23" t="s">
        <v>132</v>
      </c>
      <c r="U184" s="23"/>
      <c r="V184" s="74" t="s">
        <v>7</v>
      </c>
      <c r="W184" s="23"/>
      <c r="X184" s="21" t="s">
        <v>5</v>
      </c>
      <c r="Y184" s="23"/>
      <c r="Z184" s="23" t="s">
        <v>3</v>
      </c>
      <c r="AA184" s="23">
        <v>3</v>
      </c>
      <c r="AB184" s="23">
        <v>5</v>
      </c>
      <c r="AC184" s="23">
        <v>1</v>
      </c>
      <c r="AD184" s="23">
        <v>5</v>
      </c>
      <c r="AE184" s="23">
        <v>3</v>
      </c>
      <c r="AF184" s="23">
        <v>1</v>
      </c>
      <c r="AG184" s="23">
        <v>3</v>
      </c>
      <c r="AH184" s="22">
        <f>(AA184*$AA$2)+(AB184*$AB$2)+(AC184*$AC$2)+(AD184*$AD$2)+(AE184*$AE$2)+(AF184*$AF$2)+(AG184*$AG$2)</f>
        <v>315</v>
      </c>
      <c r="AI184" s="23"/>
      <c r="AJ184" s="23"/>
      <c r="AK184" s="23"/>
      <c r="AL184" s="23"/>
      <c r="AM184" s="23"/>
      <c r="AN184" s="23"/>
      <c r="AO184" s="23"/>
      <c r="AP184" s="21">
        <f>(AI184*$AI$2)+(AJ184*$AJ$2)+(AK184*$AK$2)+(AL184*$AL$2)+(AM184*$AM$2)+(AN184*$AN$2)+(AO184*$AO$2)</f>
        <v>0</v>
      </c>
      <c r="AQ184" s="21">
        <f>AP184+AH184</f>
        <v>315</v>
      </c>
      <c r="AR184" s="20" t="s">
        <v>48</v>
      </c>
      <c r="AS184" s="23"/>
      <c r="AT184" s="18"/>
      <c r="AU184" s="23"/>
      <c r="AV184" s="23"/>
      <c r="AW184" s="23"/>
      <c r="AX184" s="23"/>
      <c r="AY184" s="23"/>
      <c r="AZ184" s="23"/>
      <c r="BA184" s="23"/>
      <c r="BB184" s="23"/>
      <c r="BC184" s="23"/>
      <c r="BD184" s="52">
        <f>SUM(AX184:BC184)</f>
        <v>0</v>
      </c>
      <c r="BE184" s="23"/>
      <c r="BF184" s="23"/>
      <c r="BG184" s="16" t="s">
        <v>0</v>
      </c>
      <c r="BI184" s="49"/>
    </row>
    <row r="185" spans="1:173" s="48" customFormat="1" ht="56" customHeight="1">
      <c r="A185" s="21"/>
      <c r="B185" s="21">
        <v>122</v>
      </c>
      <c r="C185" s="21"/>
      <c r="D185" s="21"/>
      <c r="E185" s="69" t="s">
        <v>131</v>
      </c>
      <c r="F185" s="69" t="s">
        <v>130</v>
      </c>
      <c r="G185" s="69"/>
      <c r="H185" s="29">
        <v>45658</v>
      </c>
      <c r="I185" s="29"/>
      <c r="J185" s="54"/>
      <c r="K185" s="54"/>
      <c r="L185" s="47" t="s">
        <v>39</v>
      </c>
      <c r="M185" s="75" t="s">
        <v>38</v>
      </c>
      <c r="N185" s="26"/>
      <c r="O185" s="23" t="s">
        <v>50</v>
      </c>
      <c r="P185" s="23" t="s">
        <v>12</v>
      </c>
      <c r="Q185" s="23" t="s">
        <v>129</v>
      </c>
      <c r="R185" s="23"/>
      <c r="S185" s="23" t="s">
        <v>128</v>
      </c>
      <c r="T185" s="23" t="s">
        <v>127</v>
      </c>
      <c r="U185" s="23"/>
      <c r="V185" s="74" t="s">
        <v>66</v>
      </c>
      <c r="W185" s="26"/>
      <c r="X185" s="21" t="s">
        <v>5</v>
      </c>
      <c r="Y185" s="21" t="s">
        <v>126</v>
      </c>
      <c r="Z185" s="74" t="s">
        <v>18</v>
      </c>
      <c r="AA185" s="26">
        <v>3</v>
      </c>
      <c r="AB185" s="26">
        <v>1</v>
      </c>
      <c r="AC185" s="26">
        <v>3</v>
      </c>
      <c r="AD185" s="26">
        <v>5</v>
      </c>
      <c r="AE185" s="26">
        <v>1</v>
      </c>
      <c r="AF185" s="26">
        <v>5</v>
      </c>
      <c r="AG185" s="26">
        <v>3</v>
      </c>
      <c r="AH185" s="84">
        <f>(AA185*$AA$2)+(AB185*$AB$2)+(AC185*$AC$2)+(AD185*$AD$2)+(AE185*$AE$2)+(AF185*$AF$2)+(AG185*$AG$2)</f>
        <v>315</v>
      </c>
      <c r="AI185" s="26"/>
      <c r="AJ185" s="26"/>
      <c r="AK185" s="26"/>
      <c r="AL185" s="26"/>
      <c r="AM185" s="26"/>
      <c r="AN185" s="26"/>
      <c r="AO185" s="26"/>
      <c r="AP185" s="21">
        <f>(AI185*$AI$2)+(AJ185*$AJ$2)+(AK185*$AK$2)+(AL185*$AL$2)+(AM185*$AM$2)+(AN185*$AN$2)+(AO185*$AO$2)</f>
        <v>0</v>
      </c>
      <c r="AQ185" s="21">
        <f>AP185+AH185</f>
        <v>315</v>
      </c>
      <c r="AR185" s="69" t="s">
        <v>125</v>
      </c>
      <c r="AS185" s="80" t="s">
        <v>48</v>
      </c>
      <c r="AT185" s="18"/>
      <c r="AU185" s="26"/>
      <c r="AV185" s="26"/>
      <c r="AW185" s="26"/>
      <c r="AX185" s="26"/>
      <c r="AY185" s="26"/>
      <c r="AZ185" s="26"/>
      <c r="BA185" s="26"/>
      <c r="BB185" s="26"/>
      <c r="BC185" s="26"/>
      <c r="BD185" s="52">
        <f>SUM(AX185:BC185)</f>
        <v>0</v>
      </c>
      <c r="BE185" s="26"/>
      <c r="BF185" s="42"/>
      <c r="BG185" s="16" t="s">
        <v>0</v>
      </c>
      <c r="BI185" s="49"/>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83"/>
      <c r="EO185" s="83"/>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c r="FL185" s="83"/>
      <c r="FM185" s="83"/>
      <c r="FN185" s="83"/>
      <c r="FO185" s="83"/>
      <c r="FP185" s="83"/>
      <c r="FQ185" s="83"/>
    </row>
    <row r="186" spans="1:173" s="48" customFormat="1" ht="104">
      <c r="A186" s="82"/>
      <c r="B186" s="21">
        <v>120</v>
      </c>
      <c r="C186" s="21"/>
      <c r="D186" s="21"/>
      <c r="E186" s="69" t="s">
        <v>124</v>
      </c>
      <c r="F186" s="69" t="s">
        <v>123</v>
      </c>
      <c r="G186" s="69" t="s">
        <v>122</v>
      </c>
      <c r="H186" s="29">
        <v>45627</v>
      </c>
      <c r="I186" s="29"/>
      <c r="J186" s="54"/>
      <c r="K186" s="54"/>
      <c r="L186" s="47" t="s">
        <v>39</v>
      </c>
      <c r="M186" s="81" t="s">
        <v>74</v>
      </c>
      <c r="N186" s="25"/>
      <c r="O186" s="23" t="s">
        <v>50</v>
      </c>
      <c r="P186" s="23" t="s">
        <v>12</v>
      </c>
      <c r="Q186" s="23" t="s">
        <v>93</v>
      </c>
      <c r="R186" s="23"/>
      <c r="S186" s="23" t="s">
        <v>109</v>
      </c>
      <c r="T186" s="23" t="s">
        <v>121</v>
      </c>
      <c r="U186" s="23" t="s">
        <v>107</v>
      </c>
      <c r="V186" s="74" t="s">
        <v>7</v>
      </c>
      <c r="W186" s="23" t="s">
        <v>120</v>
      </c>
      <c r="X186" s="21" t="s">
        <v>5</v>
      </c>
      <c r="Y186" s="21" t="s">
        <v>42</v>
      </c>
      <c r="Z186" s="74" t="s">
        <v>3</v>
      </c>
      <c r="AA186" s="21">
        <v>5</v>
      </c>
      <c r="AB186" s="21">
        <v>1</v>
      </c>
      <c r="AC186" s="21">
        <v>3</v>
      </c>
      <c r="AD186" s="21">
        <v>5</v>
      </c>
      <c r="AE186" s="21">
        <v>1</v>
      </c>
      <c r="AF186" s="21">
        <v>3</v>
      </c>
      <c r="AG186" s="21">
        <v>3</v>
      </c>
      <c r="AH186" s="22">
        <f>(AA186*$AA$2)+(AB186*$AB$2)+(AC186*$AC$2)+(AD186*$AD$2)+(AE186*$AE$2)+(AF186*$AF$2)+(AG186*$AG$2)</f>
        <v>315</v>
      </c>
      <c r="AI186" s="21"/>
      <c r="AJ186" s="21"/>
      <c r="AK186" s="21"/>
      <c r="AL186" s="21"/>
      <c r="AM186" s="21"/>
      <c r="AN186" s="21"/>
      <c r="AO186" s="21"/>
      <c r="AP186" s="21">
        <f>(AI186*$AI$2)+(AJ186*$AJ$2)+(AK186*$AK$2)+(AL186*$AL$2)+(AM186*$AM$2)+(AN186*$AN$2)+(AO186*$AO$2)</f>
        <v>0</v>
      </c>
      <c r="AQ186" s="21">
        <f>AP186+AH186</f>
        <v>315</v>
      </c>
      <c r="AR186" s="80" t="s">
        <v>119</v>
      </c>
      <c r="AS186" s="80" t="s">
        <v>118</v>
      </c>
      <c r="AT186" s="18" t="s">
        <v>117</v>
      </c>
      <c r="AU186" s="17"/>
      <c r="AV186" s="17" t="s">
        <v>116</v>
      </c>
      <c r="AW186" s="17"/>
      <c r="AX186" s="17"/>
      <c r="AY186" s="17"/>
      <c r="AZ186" s="17"/>
      <c r="BA186" s="17"/>
      <c r="BB186" s="17"/>
      <c r="BC186" s="17"/>
      <c r="BD186" s="52">
        <f>SUM(AX186:BC186)</f>
        <v>0</v>
      </c>
      <c r="BE186" s="17"/>
      <c r="BF186" s="17"/>
      <c r="BG186" s="16" t="s">
        <v>0</v>
      </c>
      <c r="BI186" s="49"/>
    </row>
    <row r="187" spans="1:173" s="48" customFormat="1" ht="34.5" customHeight="1">
      <c r="A187" s="21"/>
      <c r="B187" s="21">
        <v>123</v>
      </c>
      <c r="C187" s="21"/>
      <c r="D187" s="21"/>
      <c r="E187" s="69" t="s">
        <v>115</v>
      </c>
      <c r="F187" s="69" t="s">
        <v>114</v>
      </c>
      <c r="G187" s="69" t="s">
        <v>113</v>
      </c>
      <c r="H187" s="29">
        <v>45627</v>
      </c>
      <c r="I187" s="29"/>
      <c r="J187" s="54"/>
      <c r="K187" s="54"/>
      <c r="L187" s="61" t="s">
        <v>112</v>
      </c>
      <c r="M187" s="79" t="s">
        <v>60</v>
      </c>
      <c r="N187" s="25"/>
      <c r="O187" s="23" t="s">
        <v>69</v>
      </c>
      <c r="P187" s="23" t="s">
        <v>12</v>
      </c>
      <c r="Q187" s="23" t="s">
        <v>111</v>
      </c>
      <c r="R187" s="23" t="s">
        <v>110</v>
      </c>
      <c r="S187" s="23" t="s">
        <v>109</v>
      </c>
      <c r="T187" s="23" t="s">
        <v>108</v>
      </c>
      <c r="U187" s="23" t="s">
        <v>107</v>
      </c>
      <c r="V187" s="74" t="s">
        <v>7</v>
      </c>
      <c r="W187" s="23"/>
      <c r="X187" s="21" t="s">
        <v>5</v>
      </c>
      <c r="Y187" s="21" t="s">
        <v>42</v>
      </c>
      <c r="Z187" s="23" t="s">
        <v>3</v>
      </c>
      <c r="AA187" s="21">
        <v>3</v>
      </c>
      <c r="AB187" s="21">
        <v>1</v>
      </c>
      <c r="AC187" s="21">
        <v>2</v>
      </c>
      <c r="AD187" s="21">
        <v>5</v>
      </c>
      <c r="AE187" s="21">
        <v>0</v>
      </c>
      <c r="AF187" s="21">
        <v>3</v>
      </c>
      <c r="AG187" s="21">
        <v>5</v>
      </c>
      <c r="AH187" s="22">
        <f>(AA187*$AA$2)+(AB187*$AB$2)+(AC187*$AC$2)+(AD187*$AD$2)+(AE187*$AE$2)+(AF187*$AF$2)+(AG187*$AG$2)</f>
        <v>285</v>
      </c>
      <c r="AI187" s="21"/>
      <c r="AJ187" s="21"/>
      <c r="AK187" s="21"/>
      <c r="AL187" s="21"/>
      <c r="AM187" s="21"/>
      <c r="AN187" s="21"/>
      <c r="AO187" s="21"/>
      <c r="AP187" s="21">
        <f>(AI187*$AI$2)+(AJ187*$AJ$2)+(AK187*$AK$2)+(AL187*$AL$2)+(AM187*$AM$2)+(AN187*$AN$2)+(AO187*$AO$2)</f>
        <v>0</v>
      </c>
      <c r="AQ187" s="21">
        <f>AP187+AH187</f>
        <v>285</v>
      </c>
      <c r="AR187" s="80" t="s">
        <v>106</v>
      </c>
      <c r="AS187" s="80" t="s">
        <v>105</v>
      </c>
      <c r="AT187" s="18" t="s">
        <v>104</v>
      </c>
      <c r="AU187" s="21"/>
      <c r="AV187" s="80" t="s">
        <v>103</v>
      </c>
      <c r="AW187" s="80"/>
      <c r="AX187" s="80"/>
      <c r="AY187" s="80"/>
      <c r="AZ187" s="80"/>
      <c r="BA187" s="80"/>
      <c r="BB187" s="80"/>
      <c r="BC187" s="80"/>
      <c r="BD187" s="52">
        <f>SUM(AX187:BC187)</f>
        <v>0</v>
      </c>
      <c r="BE187" s="80"/>
      <c r="BF187" s="80"/>
      <c r="BG187" s="16" t="s">
        <v>0</v>
      </c>
      <c r="BI187" s="49"/>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c r="CQ187" s="51"/>
      <c r="CR187" s="51"/>
      <c r="CS187" s="51"/>
      <c r="CT187" s="51"/>
      <c r="CU187" s="51"/>
      <c r="CV187" s="51"/>
      <c r="CW187" s="51"/>
      <c r="CX187" s="51"/>
      <c r="CY187" s="51"/>
      <c r="CZ187" s="51"/>
      <c r="DA187" s="51"/>
      <c r="DB187" s="51"/>
      <c r="DC187" s="51"/>
      <c r="DD187" s="51"/>
      <c r="DE187" s="51"/>
      <c r="DF187" s="51"/>
      <c r="DG187" s="51"/>
      <c r="DH187" s="51"/>
      <c r="DI187" s="51"/>
      <c r="DJ187" s="51"/>
      <c r="DK187" s="51"/>
      <c r="DL187" s="51"/>
      <c r="DM187" s="51"/>
      <c r="DN187" s="51"/>
      <c r="DO187" s="51"/>
      <c r="DP187" s="51"/>
      <c r="DQ187" s="51"/>
      <c r="DR187" s="51"/>
      <c r="DS187" s="51"/>
      <c r="DT187" s="51"/>
      <c r="DU187" s="51"/>
      <c r="DV187" s="51"/>
      <c r="DW187" s="51"/>
      <c r="DX187" s="51"/>
      <c r="DY187" s="51"/>
      <c r="DZ187" s="51"/>
      <c r="EA187" s="51"/>
      <c r="EB187" s="51"/>
      <c r="EC187" s="51"/>
      <c r="ED187" s="51"/>
      <c r="EE187" s="51"/>
      <c r="EF187" s="51"/>
      <c r="EG187" s="51"/>
      <c r="EH187" s="51"/>
      <c r="EI187" s="51"/>
      <c r="EJ187" s="51"/>
      <c r="EK187" s="51"/>
      <c r="EL187" s="51"/>
      <c r="EM187" s="51"/>
      <c r="EN187" s="51"/>
      <c r="EO187" s="51"/>
      <c r="EP187" s="51"/>
      <c r="EQ187" s="51"/>
      <c r="ER187" s="51"/>
      <c r="ES187" s="51"/>
      <c r="ET187" s="51"/>
      <c r="EU187" s="51"/>
      <c r="EV187" s="51"/>
      <c r="EW187" s="51"/>
      <c r="EX187" s="51"/>
      <c r="EY187" s="51"/>
      <c r="EZ187" s="51"/>
      <c r="FA187" s="51"/>
      <c r="FB187" s="51"/>
      <c r="FC187" s="51"/>
      <c r="FD187" s="51"/>
      <c r="FE187" s="51"/>
      <c r="FF187" s="51"/>
      <c r="FG187" s="51"/>
      <c r="FH187" s="51"/>
      <c r="FI187" s="51"/>
      <c r="FJ187" s="51"/>
      <c r="FK187" s="51"/>
      <c r="FL187" s="51"/>
      <c r="FM187" s="51"/>
      <c r="FN187" s="51"/>
      <c r="FO187" s="51"/>
      <c r="FP187" s="51"/>
      <c r="FQ187" s="51"/>
    </row>
    <row r="188" spans="1:173" s="51" customFormat="1" ht="102.5" customHeight="1">
      <c r="A188" s="21"/>
      <c r="B188" s="21"/>
      <c r="C188" s="32"/>
      <c r="D188" s="21"/>
      <c r="E188" s="69" t="s">
        <v>102</v>
      </c>
      <c r="F188" s="69" t="s">
        <v>101</v>
      </c>
      <c r="G188" s="69" t="s">
        <v>100</v>
      </c>
      <c r="H188" s="29">
        <v>45964</v>
      </c>
      <c r="I188" s="29"/>
      <c r="J188" s="29"/>
      <c r="K188" s="76"/>
      <c r="L188" s="61" t="s">
        <v>39</v>
      </c>
      <c r="M188" s="75" t="s">
        <v>74</v>
      </c>
      <c r="N188" s="25"/>
      <c r="O188" s="68" t="s">
        <v>45</v>
      </c>
      <c r="P188" s="23" t="s">
        <v>12</v>
      </c>
      <c r="Q188" s="23" t="s">
        <v>44</v>
      </c>
      <c r="R188" s="23"/>
      <c r="S188" s="23"/>
      <c r="T188" s="23" t="s">
        <v>73</v>
      </c>
      <c r="U188" s="23"/>
      <c r="V188" s="74" t="s">
        <v>99</v>
      </c>
      <c r="W188" s="23"/>
      <c r="X188" s="21" t="s">
        <v>5</v>
      </c>
      <c r="Y188" s="21"/>
      <c r="Z188" s="74" t="s">
        <v>78</v>
      </c>
      <c r="AA188" s="22">
        <v>3</v>
      </c>
      <c r="AB188" s="22">
        <v>1</v>
      </c>
      <c r="AC188" s="22">
        <v>3</v>
      </c>
      <c r="AD188" s="22">
        <v>5</v>
      </c>
      <c r="AE188" s="22">
        <v>1</v>
      </c>
      <c r="AF188" s="22">
        <v>3</v>
      </c>
      <c r="AG188" s="22">
        <v>3</v>
      </c>
      <c r="AH188" s="22">
        <f>(AA188*$AA$2)+(AB188*$AB$2)+(AC188*$AC$2)+(AD188*$AD$2)+(AE188*$AE$2)+(AF188*$AF$2)+(AG188*$AG$2)</f>
        <v>285</v>
      </c>
      <c r="AI188" s="22"/>
      <c r="AJ188" s="22"/>
      <c r="AK188" s="22"/>
      <c r="AL188" s="22"/>
      <c r="AM188" s="22"/>
      <c r="AN188" s="22"/>
      <c r="AO188" s="22"/>
      <c r="AP188" s="21">
        <f>(AI188*$AI$2)+(AJ188*$AJ$2)+(AK188*$AK$2)+(AL188*$AL$2)+(AM188*$AM$2)+(AN188*$AN$2)+(AO188*$AO$2)</f>
        <v>0</v>
      </c>
      <c r="AQ188" s="21">
        <f>AP188+AH188</f>
        <v>285</v>
      </c>
      <c r="AR188" s="20" t="s">
        <v>98</v>
      </c>
      <c r="AS188" s="20" t="s">
        <v>97</v>
      </c>
      <c r="AT188" s="18"/>
      <c r="AU188" s="17"/>
      <c r="AV188" s="17"/>
      <c r="AW188" s="17"/>
      <c r="AX188" s="17"/>
      <c r="AY188" s="17"/>
      <c r="AZ188" s="17"/>
      <c r="BA188" s="17"/>
      <c r="BB188" s="17"/>
      <c r="BC188" s="17"/>
      <c r="BD188" s="17"/>
      <c r="BE188" s="17"/>
      <c r="BF188" s="17"/>
      <c r="BG188" s="16" t="s">
        <v>0</v>
      </c>
      <c r="BH188" s="48"/>
      <c r="BI188" s="49"/>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c r="DX188" s="48"/>
      <c r="DY188" s="48"/>
      <c r="DZ188" s="48"/>
      <c r="EA188" s="48"/>
      <c r="EB188" s="48"/>
      <c r="EC188" s="48"/>
      <c r="ED188" s="48"/>
      <c r="EE188" s="48"/>
      <c r="EF188" s="48"/>
      <c r="EG188" s="48"/>
      <c r="EH188" s="48"/>
      <c r="EI188" s="48"/>
      <c r="EJ188" s="48"/>
      <c r="EK188" s="48"/>
      <c r="EL188" s="48"/>
      <c r="EM188" s="48"/>
      <c r="EN188" s="48"/>
      <c r="EO188" s="48"/>
      <c r="EP188" s="48"/>
      <c r="EQ188" s="48"/>
      <c r="ER188" s="48"/>
      <c r="ES188" s="48"/>
      <c r="ET188" s="48"/>
      <c r="EU188" s="48"/>
      <c r="EV188" s="48"/>
      <c r="EW188" s="48"/>
      <c r="EX188" s="48"/>
      <c r="EY188" s="48"/>
      <c r="EZ188" s="48"/>
      <c r="FA188" s="48"/>
      <c r="FB188" s="48"/>
      <c r="FC188" s="48"/>
      <c r="FD188" s="48"/>
      <c r="FE188" s="48"/>
      <c r="FF188" s="48"/>
      <c r="FG188" s="48"/>
      <c r="FH188" s="48"/>
      <c r="FI188" s="48"/>
      <c r="FJ188" s="48"/>
      <c r="FK188" s="48"/>
      <c r="FL188" s="48"/>
      <c r="FM188" s="48"/>
      <c r="FN188" s="48"/>
      <c r="FO188" s="48"/>
      <c r="FP188" s="48"/>
      <c r="FQ188" s="48"/>
    </row>
    <row r="189" spans="1:173" s="48" customFormat="1" ht="78">
      <c r="A189" s="21"/>
      <c r="B189" s="21">
        <v>129</v>
      </c>
      <c r="C189" s="21"/>
      <c r="D189" s="21"/>
      <c r="E189" s="69" t="s">
        <v>96</v>
      </c>
      <c r="F189" s="69" t="s">
        <v>95</v>
      </c>
      <c r="G189" s="69" t="s">
        <v>94</v>
      </c>
      <c r="H189" s="29">
        <v>45627</v>
      </c>
      <c r="I189" s="29"/>
      <c r="J189" s="29"/>
      <c r="K189" s="54"/>
      <c r="L189" s="47" t="s">
        <v>39</v>
      </c>
      <c r="M189" s="79" t="s">
        <v>60</v>
      </c>
      <c r="N189" s="25"/>
      <c r="O189" s="23" t="s">
        <v>50</v>
      </c>
      <c r="P189" s="23" t="s">
        <v>12</v>
      </c>
      <c r="Q189" s="23" t="s">
        <v>93</v>
      </c>
      <c r="R189" s="23"/>
      <c r="S189" s="23" t="s">
        <v>92</v>
      </c>
      <c r="T189" s="23" t="s">
        <v>92</v>
      </c>
      <c r="U189" s="23" t="s">
        <v>91</v>
      </c>
      <c r="V189" s="78" t="s">
        <v>7</v>
      </c>
      <c r="W189" s="23" t="s">
        <v>90</v>
      </c>
      <c r="X189" s="21" t="s">
        <v>5</v>
      </c>
      <c r="Y189" s="21" t="s">
        <v>42</v>
      </c>
      <c r="Z189" s="78" t="s">
        <v>3</v>
      </c>
      <c r="AA189" s="21">
        <v>3</v>
      </c>
      <c r="AB189" s="21">
        <v>5</v>
      </c>
      <c r="AC189" s="21">
        <v>1</v>
      </c>
      <c r="AD189" s="21">
        <v>5</v>
      </c>
      <c r="AE189" s="21">
        <v>0</v>
      </c>
      <c r="AF189" s="21">
        <v>1</v>
      </c>
      <c r="AG189" s="21">
        <v>3</v>
      </c>
      <c r="AH189" s="22">
        <f>(AA189*$AA$2)+(AB189*$AB$2)+(AC189*$AC$2)+(AD189*$AD$2)+(AE189*$AE$2)+(AF189*$AF$2)+(AG189*$AG$2)</f>
        <v>270</v>
      </c>
      <c r="AI189" s="21"/>
      <c r="AJ189" s="21"/>
      <c r="AK189" s="21"/>
      <c r="AL189" s="21"/>
      <c r="AM189" s="21"/>
      <c r="AN189" s="21"/>
      <c r="AO189" s="21"/>
      <c r="AP189" s="21">
        <f>(AI189*$AI$2)+(AJ189*$AJ$2)+(AK189*$AK$2)+(AL189*$AL$2)+(AM189*$AM$2)+(AN189*$AN$2)+(AO189*$AO$2)</f>
        <v>0</v>
      </c>
      <c r="AQ189" s="21">
        <f>AP189+AH189</f>
        <v>270</v>
      </c>
      <c r="AR189" s="20" t="s">
        <v>89</v>
      </c>
      <c r="AS189" s="20" t="s">
        <v>88</v>
      </c>
      <c r="AT189" s="18"/>
      <c r="AU189" s="21"/>
      <c r="AV189" s="23" t="s">
        <v>87</v>
      </c>
      <c r="AW189" s="21"/>
      <c r="AX189" s="21"/>
      <c r="AY189" s="21"/>
      <c r="AZ189" s="21"/>
      <c r="BA189" s="21"/>
      <c r="BB189" s="21"/>
      <c r="BC189" s="21"/>
      <c r="BD189" s="52">
        <f>SUM(AX189:BC189)</f>
        <v>0</v>
      </c>
      <c r="BE189" s="21"/>
      <c r="BF189" s="21"/>
      <c r="BG189" s="16" t="s">
        <v>0</v>
      </c>
      <c r="BH189" s="51" t="s">
        <v>86</v>
      </c>
      <c r="BI189" s="49"/>
    </row>
    <row r="190" spans="1:173" s="48" customFormat="1" ht="86.5" customHeight="1">
      <c r="A190" s="21"/>
      <c r="B190" s="21"/>
      <c r="C190" s="32"/>
      <c r="D190" s="21"/>
      <c r="E190" s="69" t="s">
        <v>85</v>
      </c>
      <c r="F190" s="69" t="s">
        <v>84</v>
      </c>
      <c r="G190" s="69"/>
      <c r="H190" s="29">
        <v>45964</v>
      </c>
      <c r="I190" s="29"/>
      <c r="J190" s="29"/>
      <c r="K190" s="76"/>
      <c r="L190" s="47" t="s">
        <v>39</v>
      </c>
      <c r="M190" s="75" t="s">
        <v>74</v>
      </c>
      <c r="N190" s="25"/>
      <c r="O190" s="68" t="s">
        <v>50</v>
      </c>
      <c r="P190" s="23" t="s">
        <v>12</v>
      </c>
      <c r="Q190" s="23" t="s">
        <v>57</v>
      </c>
      <c r="R190" s="23"/>
      <c r="S190" s="23" t="s">
        <v>73</v>
      </c>
      <c r="T190" s="23"/>
      <c r="U190" s="23"/>
      <c r="V190" s="74"/>
      <c r="W190" s="23"/>
      <c r="X190" s="21" t="s">
        <v>5</v>
      </c>
      <c r="Y190" s="21"/>
      <c r="Z190" s="74"/>
      <c r="AA190" s="22">
        <v>3</v>
      </c>
      <c r="AB190" s="22">
        <v>1</v>
      </c>
      <c r="AC190" s="22">
        <v>3</v>
      </c>
      <c r="AD190" s="22">
        <v>5</v>
      </c>
      <c r="AE190" s="22">
        <v>1</v>
      </c>
      <c r="AF190" s="22">
        <v>1</v>
      </c>
      <c r="AG190" s="22">
        <v>3</v>
      </c>
      <c r="AH190" s="22">
        <f>(AA190*$AA$2)+(AB190*$AB$2)+(AC190*$AC$2)+(AD190*$AD$2)+(AE190*$AE$2)+(AF190*$AF$2)+(AG190*$AG$2)</f>
        <v>255</v>
      </c>
      <c r="AI190" s="22"/>
      <c r="AJ190" s="22"/>
      <c r="AK190" s="22"/>
      <c r="AL190" s="22"/>
      <c r="AM190" s="22"/>
      <c r="AN190" s="22"/>
      <c r="AO190" s="22"/>
      <c r="AP190" s="21">
        <f>(AI190*$AI$2)+(AJ190*$AJ$2)+(AK190*$AK$2)+(AL190*$AL$2)+(AM190*$AM$2)+(AN190*$AN$2)+(AO190*$AO$2)</f>
        <v>0</v>
      </c>
      <c r="AQ190" s="21">
        <f>AP190+AH190</f>
        <v>255</v>
      </c>
      <c r="AR190" s="20" t="s">
        <v>83</v>
      </c>
      <c r="AS190" s="20" t="s">
        <v>48</v>
      </c>
      <c r="AT190" s="18"/>
      <c r="AU190" s="17"/>
      <c r="AV190" s="17"/>
      <c r="AW190" s="17"/>
      <c r="AX190" s="17"/>
      <c r="AY190" s="17"/>
      <c r="AZ190" s="17"/>
      <c r="BA190" s="17"/>
      <c r="BB190" s="17"/>
      <c r="BC190" s="17"/>
      <c r="BD190" s="17"/>
      <c r="BE190" s="17"/>
      <c r="BF190" s="17"/>
      <c r="BG190" s="16" t="s">
        <v>0</v>
      </c>
      <c r="BI190" s="49"/>
    </row>
    <row r="191" spans="1:173" s="48" customFormat="1" ht="71" customHeight="1">
      <c r="A191" s="21"/>
      <c r="B191" s="21"/>
      <c r="C191" s="32"/>
      <c r="D191" s="21"/>
      <c r="E191" s="69" t="s">
        <v>82</v>
      </c>
      <c r="F191" s="69" t="s">
        <v>81</v>
      </c>
      <c r="G191" s="69"/>
      <c r="H191" s="29">
        <v>45964</v>
      </c>
      <c r="I191" s="29"/>
      <c r="J191" s="29"/>
      <c r="K191" s="76"/>
      <c r="L191" s="47" t="s">
        <v>39</v>
      </c>
      <c r="M191" s="75" t="s">
        <v>74</v>
      </c>
      <c r="N191" s="25"/>
      <c r="O191" s="23" t="s">
        <v>50</v>
      </c>
      <c r="P191" s="23" t="s">
        <v>23</v>
      </c>
      <c r="Q191" s="23"/>
      <c r="R191" s="23"/>
      <c r="S191" s="23" t="s">
        <v>73</v>
      </c>
      <c r="T191" s="23" t="s">
        <v>73</v>
      </c>
      <c r="U191" s="23"/>
      <c r="V191" s="74" t="s">
        <v>28</v>
      </c>
      <c r="W191" s="23"/>
      <c r="X191" s="21" t="s">
        <v>5</v>
      </c>
      <c r="Y191" s="21"/>
      <c r="Z191" s="74" t="s">
        <v>18</v>
      </c>
      <c r="AA191" s="22">
        <v>2</v>
      </c>
      <c r="AB191" s="22">
        <v>1</v>
      </c>
      <c r="AC191" s="22">
        <v>2</v>
      </c>
      <c r="AD191" s="22">
        <v>5</v>
      </c>
      <c r="AE191" s="22">
        <v>1</v>
      </c>
      <c r="AF191" s="22">
        <v>1</v>
      </c>
      <c r="AG191" s="22">
        <v>3</v>
      </c>
      <c r="AH191" s="22">
        <f>(AA191*$AA$2)+(AB191*$AB$2)+(AC191*$AC$2)+(AD191*$AD$2)+(AE191*$AE$2)+(AF191*$AF$2)+(AG191*$AG$2)</f>
        <v>225</v>
      </c>
      <c r="AI191" s="22"/>
      <c r="AJ191" s="22"/>
      <c r="AK191" s="22"/>
      <c r="AL191" s="22"/>
      <c r="AM191" s="22"/>
      <c r="AN191" s="22"/>
      <c r="AO191" s="22"/>
      <c r="AP191" s="21">
        <f>(AI191*$AI$2)+(AJ191*$AJ$2)+(AK191*$AK$2)+(AL191*$AL$2)+(AM191*$AM$2)+(AN191*$AN$2)+(AO191*$AO$2)</f>
        <v>0</v>
      </c>
      <c r="AQ191" s="21">
        <f>AP191+AH191</f>
        <v>225</v>
      </c>
      <c r="AR191" s="20"/>
      <c r="AS191" s="20" t="s">
        <v>48</v>
      </c>
      <c r="AT191" s="18"/>
      <c r="AU191" s="17"/>
      <c r="AV191" s="17"/>
      <c r="AW191" s="17"/>
      <c r="AX191" s="17"/>
      <c r="AY191" s="17"/>
      <c r="AZ191" s="17"/>
      <c r="BA191" s="17"/>
      <c r="BB191" s="17"/>
      <c r="BC191" s="17"/>
      <c r="BD191" s="17"/>
      <c r="BE191" s="17"/>
      <c r="BF191" s="77"/>
      <c r="BG191" s="16" t="s">
        <v>0</v>
      </c>
      <c r="BI191" s="49"/>
    </row>
    <row r="192" spans="1:173" s="48" customFormat="1" ht="46.5" customHeight="1">
      <c r="A192" s="21"/>
      <c r="B192" s="21"/>
      <c r="C192" s="32"/>
      <c r="D192" s="21"/>
      <c r="E192" s="69" t="s">
        <v>80</v>
      </c>
      <c r="F192" s="69" t="s">
        <v>79</v>
      </c>
      <c r="G192" s="69"/>
      <c r="H192" s="29">
        <v>45964</v>
      </c>
      <c r="I192" s="29"/>
      <c r="J192" s="29"/>
      <c r="K192" s="76"/>
      <c r="L192" s="47" t="s">
        <v>39</v>
      </c>
      <c r="M192" s="75" t="s">
        <v>74</v>
      </c>
      <c r="N192" s="25"/>
      <c r="O192" s="68" t="s">
        <v>50</v>
      </c>
      <c r="P192" s="23" t="s">
        <v>12</v>
      </c>
      <c r="Q192" s="23" t="s">
        <v>44</v>
      </c>
      <c r="R192" s="23"/>
      <c r="S192" s="23" t="s">
        <v>73</v>
      </c>
      <c r="T192" s="23" t="s">
        <v>73</v>
      </c>
      <c r="U192" s="23"/>
      <c r="V192" s="74"/>
      <c r="W192" s="23"/>
      <c r="X192" s="21" t="s">
        <v>5</v>
      </c>
      <c r="Y192" s="21"/>
      <c r="Z192" s="74" t="s">
        <v>78</v>
      </c>
      <c r="AA192" s="22">
        <v>3</v>
      </c>
      <c r="AB192" s="22">
        <v>1</v>
      </c>
      <c r="AC192" s="22">
        <v>1</v>
      </c>
      <c r="AD192" s="22">
        <v>5</v>
      </c>
      <c r="AE192" s="22">
        <v>1</v>
      </c>
      <c r="AF192" s="22">
        <v>1</v>
      </c>
      <c r="AG192" s="22">
        <v>3</v>
      </c>
      <c r="AH192" s="22">
        <f>(AA192*$AA$2)+(AB192*$AB$2)+(AC192*$AC$2)+(AD192*$AD$2)+(AE192*$AE$2)+(AF192*$AF$2)+(AG192*$AG$2)</f>
        <v>225</v>
      </c>
      <c r="AI192" s="22"/>
      <c r="AJ192" s="22"/>
      <c r="AK192" s="22"/>
      <c r="AL192" s="22"/>
      <c r="AM192" s="22"/>
      <c r="AN192" s="22"/>
      <c r="AO192" s="22"/>
      <c r="AP192" s="21">
        <f>(AI192*$AI$2)+(AJ192*$AJ$2)+(AK192*$AK$2)+(AL192*$AL$2)+(AM192*$AM$2)+(AN192*$AN$2)+(AO192*$AO$2)</f>
        <v>0</v>
      </c>
      <c r="AQ192" s="21">
        <f>AP192+AH192</f>
        <v>225</v>
      </c>
      <c r="AR192" s="20" t="s">
        <v>77</v>
      </c>
      <c r="AS192" s="20" t="s">
        <v>48</v>
      </c>
      <c r="AT192" s="18"/>
      <c r="AU192" s="17"/>
      <c r="AV192" s="17"/>
      <c r="AW192" s="17"/>
      <c r="AX192" s="17"/>
      <c r="AY192" s="17"/>
      <c r="AZ192" s="17"/>
      <c r="BA192" s="17"/>
      <c r="BB192" s="17"/>
      <c r="BC192" s="17"/>
      <c r="BD192" s="17"/>
      <c r="BE192" s="17"/>
      <c r="BF192" s="17"/>
      <c r="BG192" s="16" t="s">
        <v>0</v>
      </c>
      <c r="BI192" s="49"/>
    </row>
    <row r="193" spans="1:173" s="48" customFormat="1" ht="46.5" customHeight="1">
      <c r="A193" s="21"/>
      <c r="B193" s="21"/>
      <c r="C193" s="32"/>
      <c r="D193" s="21"/>
      <c r="E193" s="69" t="s">
        <v>76</v>
      </c>
      <c r="F193" s="69" t="s">
        <v>75</v>
      </c>
      <c r="G193" s="69"/>
      <c r="H193" s="29">
        <v>45964</v>
      </c>
      <c r="I193" s="29"/>
      <c r="J193" s="29"/>
      <c r="K193" s="76"/>
      <c r="L193" s="47" t="s">
        <v>39</v>
      </c>
      <c r="M193" s="75" t="s">
        <v>74</v>
      </c>
      <c r="N193" s="25"/>
      <c r="O193" s="68" t="s">
        <v>50</v>
      </c>
      <c r="P193" s="23" t="s">
        <v>12</v>
      </c>
      <c r="Q193" s="23"/>
      <c r="R193" s="23"/>
      <c r="S193" s="23" t="s">
        <v>73</v>
      </c>
      <c r="T193" s="23"/>
      <c r="U193" s="23"/>
      <c r="V193" s="74"/>
      <c r="W193" s="23"/>
      <c r="X193" s="21" t="s">
        <v>5</v>
      </c>
      <c r="Y193" s="21"/>
      <c r="Z193" s="74"/>
      <c r="AA193" s="22">
        <v>3</v>
      </c>
      <c r="AB193" s="22">
        <v>1</v>
      </c>
      <c r="AC193" s="22">
        <v>1</v>
      </c>
      <c r="AD193" s="22">
        <v>5</v>
      </c>
      <c r="AE193" s="22">
        <v>1</v>
      </c>
      <c r="AF193" s="22">
        <v>1</v>
      </c>
      <c r="AG193" s="22">
        <v>3</v>
      </c>
      <c r="AH193" s="22">
        <f>(AA193*$AA$2)+(AB193*$AB$2)+(AC193*$AC$2)+(AD193*$AD$2)+(AE193*$AE$2)+(AF193*$AF$2)+(AG193*$AG$2)</f>
        <v>225</v>
      </c>
      <c r="AI193" s="22"/>
      <c r="AJ193" s="22"/>
      <c r="AK193" s="22"/>
      <c r="AL193" s="22"/>
      <c r="AM193" s="22"/>
      <c r="AN193" s="22"/>
      <c r="AO193" s="22"/>
      <c r="AP193" s="21">
        <f>(AI193*$AI$2)+(AJ193*$AJ$2)+(AK193*$AK$2)+(AL193*$AL$2)+(AM193*$AM$2)+(AN193*$AN$2)+(AO193*$AO$2)</f>
        <v>0</v>
      </c>
      <c r="AQ193" s="21">
        <f>AP193+AH193</f>
        <v>225</v>
      </c>
      <c r="AR193" s="20"/>
      <c r="AS193" s="20" t="s">
        <v>48</v>
      </c>
      <c r="AT193" s="18"/>
      <c r="AU193" s="17"/>
      <c r="AV193" s="17"/>
      <c r="AW193" s="17"/>
      <c r="AX193" s="17"/>
      <c r="AY193" s="17"/>
      <c r="AZ193" s="17"/>
      <c r="BA193" s="17"/>
      <c r="BB193" s="17"/>
      <c r="BC193" s="17"/>
      <c r="BD193" s="17"/>
      <c r="BE193" s="17"/>
      <c r="BF193" s="28"/>
      <c r="BG193" s="16" t="s">
        <v>0</v>
      </c>
      <c r="BI193" s="49"/>
    </row>
    <row r="194" spans="1:173" s="48" customFormat="1" ht="34.5" customHeight="1">
      <c r="A194" s="21"/>
      <c r="B194" s="21">
        <v>125</v>
      </c>
      <c r="C194" s="21"/>
      <c r="D194" s="21"/>
      <c r="E194" s="69" t="s">
        <v>72</v>
      </c>
      <c r="F194" s="69" t="s">
        <v>71</v>
      </c>
      <c r="G194" s="69"/>
      <c r="H194" s="29">
        <v>45627</v>
      </c>
      <c r="I194" s="29"/>
      <c r="J194" s="54"/>
      <c r="K194" s="54"/>
      <c r="L194" s="47" t="s">
        <v>70</v>
      </c>
      <c r="M194" s="75" t="s">
        <v>38</v>
      </c>
      <c r="N194" s="25"/>
      <c r="O194" s="23" t="s">
        <v>69</v>
      </c>
      <c r="P194" s="23" t="s">
        <v>68</v>
      </c>
      <c r="Q194" s="23" t="s">
        <v>11</v>
      </c>
      <c r="R194" s="23"/>
      <c r="S194" s="23" t="s">
        <v>67</v>
      </c>
      <c r="T194" s="23" t="s">
        <v>67</v>
      </c>
      <c r="U194" s="23"/>
      <c r="V194" s="74" t="s">
        <v>66</v>
      </c>
      <c r="W194" s="23"/>
      <c r="X194" s="21" t="s">
        <v>5</v>
      </c>
      <c r="Y194" s="21" t="s">
        <v>42</v>
      </c>
      <c r="Z194" s="74" t="s">
        <v>18</v>
      </c>
      <c r="AA194" s="21"/>
      <c r="AB194" s="21"/>
      <c r="AC194" s="21"/>
      <c r="AD194" s="21"/>
      <c r="AE194" s="21"/>
      <c r="AF194" s="21"/>
      <c r="AG194" s="21"/>
      <c r="AH194" s="22">
        <f>(AA194*$AA$2)+(AB194*$AB$2)+(AC194*$AC$2)+(AD194*$AD$2)+(AE194*$AE$2)+(AF194*$AF$2)+(AG194*$AG$2)</f>
        <v>0</v>
      </c>
      <c r="AI194" s="21"/>
      <c r="AJ194" s="21"/>
      <c r="AK194" s="21"/>
      <c r="AL194" s="21"/>
      <c r="AM194" s="21"/>
      <c r="AN194" s="21"/>
      <c r="AO194" s="21"/>
      <c r="AP194" s="21">
        <f>(AI194*$AI$2)+(AJ194*$AJ$2)+(AK194*$AK$2)+(AL194*$AL$2)+(AM194*$AM$2)+(AN194*$AN$2)+(AO194*$AO$2)</f>
        <v>0</v>
      </c>
      <c r="AQ194" s="21">
        <f>AP194+AH194</f>
        <v>0</v>
      </c>
      <c r="AR194" s="20" t="s">
        <v>65</v>
      </c>
      <c r="AS194" s="20" t="s">
        <v>64</v>
      </c>
      <c r="AT194" s="23"/>
      <c r="AU194" s="21"/>
      <c r="AV194" s="21"/>
      <c r="AW194" s="21"/>
      <c r="AX194" s="21"/>
      <c r="AY194" s="21"/>
      <c r="AZ194" s="21"/>
      <c r="BA194" s="21"/>
      <c r="BB194" s="21"/>
      <c r="BC194" s="21"/>
      <c r="BD194" s="52">
        <f>SUM(AX194:BC194)</f>
        <v>0</v>
      </c>
      <c r="BE194" s="21"/>
      <c r="BF194" s="21"/>
      <c r="BG194" s="16" t="s">
        <v>0</v>
      </c>
      <c r="BI194" s="59"/>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c r="CQ194" s="51"/>
      <c r="CR194" s="51"/>
      <c r="CS194" s="51"/>
      <c r="CT194" s="51"/>
      <c r="CU194" s="51"/>
      <c r="CV194" s="51"/>
      <c r="CW194" s="51"/>
      <c r="CX194" s="51"/>
      <c r="CY194" s="51"/>
      <c r="CZ194" s="51"/>
      <c r="DA194" s="51"/>
      <c r="DB194" s="51"/>
      <c r="DC194" s="51"/>
      <c r="DD194" s="51"/>
      <c r="DE194" s="51"/>
      <c r="DF194" s="51"/>
      <c r="DG194" s="51"/>
      <c r="DH194" s="51"/>
      <c r="DI194" s="51"/>
      <c r="DJ194" s="51"/>
      <c r="DK194" s="51"/>
      <c r="DL194" s="51"/>
      <c r="DM194" s="51"/>
      <c r="DN194" s="51"/>
      <c r="DO194" s="51"/>
      <c r="DP194" s="51"/>
      <c r="DQ194" s="51"/>
      <c r="DR194" s="51"/>
      <c r="DS194" s="51"/>
      <c r="DT194" s="51"/>
      <c r="DU194" s="51"/>
      <c r="DV194" s="51"/>
      <c r="DW194" s="51"/>
      <c r="DX194" s="51"/>
      <c r="DY194" s="51"/>
      <c r="DZ194" s="51"/>
      <c r="EA194" s="51"/>
      <c r="EB194" s="51"/>
      <c r="EC194" s="51"/>
      <c r="ED194" s="51"/>
      <c r="EE194" s="51"/>
      <c r="EF194" s="51"/>
      <c r="EG194" s="51"/>
      <c r="EH194" s="51"/>
      <c r="EI194" s="51"/>
      <c r="EJ194" s="51"/>
      <c r="EK194" s="51"/>
      <c r="EL194" s="51"/>
      <c r="EM194" s="51"/>
      <c r="EN194" s="51"/>
      <c r="EO194" s="51"/>
      <c r="EP194" s="51"/>
      <c r="EQ194" s="51"/>
      <c r="ER194" s="51"/>
      <c r="ES194" s="51"/>
      <c r="ET194" s="51"/>
      <c r="EU194" s="51"/>
      <c r="EV194" s="51"/>
      <c r="EW194" s="51"/>
      <c r="EX194" s="51"/>
      <c r="EY194" s="51"/>
      <c r="EZ194" s="51"/>
      <c r="FA194" s="51"/>
      <c r="FB194" s="51"/>
      <c r="FC194" s="51"/>
      <c r="FD194" s="51"/>
      <c r="FE194" s="51"/>
      <c r="FF194" s="51"/>
      <c r="FG194" s="51"/>
      <c r="FH194" s="51"/>
      <c r="FI194" s="51"/>
      <c r="FJ194" s="51"/>
      <c r="FK194" s="51"/>
      <c r="FL194" s="51"/>
      <c r="FM194" s="51"/>
      <c r="FN194" s="51"/>
      <c r="FO194" s="51"/>
      <c r="FP194" s="51"/>
      <c r="FQ194" s="51"/>
    </row>
    <row r="195" spans="1:173" s="48" customFormat="1" ht="45.5" customHeight="1">
      <c r="A195" s="21"/>
      <c r="B195" s="21"/>
      <c r="C195" s="16"/>
      <c r="D195" s="21"/>
      <c r="E195" s="69" t="s">
        <v>63</v>
      </c>
      <c r="F195" s="69" t="s">
        <v>62</v>
      </c>
      <c r="G195" s="69" t="s">
        <v>61</v>
      </c>
      <c r="H195" s="73">
        <v>45901</v>
      </c>
      <c r="I195" s="29">
        <v>45962</v>
      </c>
      <c r="J195" s="29">
        <v>45971</v>
      </c>
      <c r="K195" s="54">
        <f>J195-I195</f>
        <v>9</v>
      </c>
      <c r="L195" s="72" t="s">
        <v>14</v>
      </c>
      <c r="M195" s="67" t="s">
        <v>60</v>
      </c>
      <c r="N195" s="23" t="s">
        <v>59</v>
      </c>
      <c r="O195" s="23" t="s">
        <v>32</v>
      </c>
      <c r="P195" s="23" t="s">
        <v>58</v>
      </c>
      <c r="Q195" s="23" t="s">
        <v>57</v>
      </c>
      <c r="R195" s="23" t="s">
        <v>30</v>
      </c>
      <c r="S195" s="23" t="s">
        <v>42</v>
      </c>
      <c r="T195" s="23" t="s">
        <v>4</v>
      </c>
      <c r="U195" s="70" t="s">
        <v>8</v>
      </c>
      <c r="V195" s="23" t="s">
        <v>56</v>
      </c>
      <c r="W195" s="23" t="s">
        <v>6</v>
      </c>
      <c r="X195" s="21" t="s">
        <v>5</v>
      </c>
      <c r="Y195" s="70" t="s">
        <v>4</v>
      </c>
      <c r="Z195" s="23" t="s">
        <v>18</v>
      </c>
      <c r="AA195" s="70">
        <v>5</v>
      </c>
      <c r="AB195" s="70">
        <v>1</v>
      </c>
      <c r="AC195" s="70">
        <v>5</v>
      </c>
      <c r="AD195" s="70">
        <v>3</v>
      </c>
      <c r="AE195" s="70">
        <v>1</v>
      </c>
      <c r="AF195" s="71">
        <v>3</v>
      </c>
      <c r="AG195" s="70">
        <v>3</v>
      </c>
      <c r="AH195" s="70">
        <f>(AA195*$AA$2)+(AB195*$AB$2)+(AC195*$AC$2)+(AD195*$AD$2)+(AE195*$AE$2)+(AF195*$AF$2)+(AG195*$AG$2)</f>
        <v>315</v>
      </c>
      <c r="AI195" s="70">
        <v>5</v>
      </c>
      <c r="AJ195" s="70">
        <v>5</v>
      </c>
      <c r="AK195" s="70">
        <v>4</v>
      </c>
      <c r="AL195" s="70">
        <v>3</v>
      </c>
      <c r="AM195" s="70">
        <v>5</v>
      </c>
      <c r="AN195" s="16">
        <v>5</v>
      </c>
      <c r="AO195" s="70">
        <v>5</v>
      </c>
      <c r="AP195" s="20">
        <f>(AI195*$AI$2)+(AJ195*$AJ$2)+(AK195*$AK$2)+(AL195*$AL$2)+(AM195*$AM$2)+(AN195*$AN$2)+(AO195*$AO$2)</f>
        <v>480</v>
      </c>
      <c r="AQ195" s="23">
        <f>AP195+AH195</f>
        <v>795</v>
      </c>
      <c r="AR195" s="18" t="s">
        <v>55</v>
      </c>
      <c r="AS195" s="17"/>
      <c r="AT195" s="17" t="s">
        <v>54</v>
      </c>
      <c r="AU195" s="17"/>
      <c r="AV195" s="17" t="s">
        <v>54</v>
      </c>
      <c r="AW195" s="17"/>
      <c r="AX195" s="17"/>
      <c r="AY195" s="17"/>
      <c r="AZ195" s="17"/>
      <c r="BA195" s="17"/>
      <c r="BB195" s="17"/>
      <c r="BC195" s="17"/>
      <c r="BD195" s="52">
        <f>SUM(AX195:BC195)</f>
        <v>0</v>
      </c>
      <c r="BE195" s="16"/>
      <c r="BF195" s="17"/>
      <c r="BG195" s="16" t="s">
        <v>53</v>
      </c>
      <c r="BH195" s="51"/>
      <c r="BI195" s="59"/>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c r="CQ195" s="51"/>
      <c r="CR195" s="51"/>
      <c r="CS195" s="51"/>
      <c r="CT195" s="51"/>
      <c r="CU195" s="51"/>
      <c r="CV195" s="51"/>
      <c r="CW195" s="51"/>
      <c r="CX195" s="51"/>
      <c r="CY195" s="51"/>
      <c r="CZ195" s="51"/>
      <c r="DA195" s="51"/>
      <c r="DB195" s="51"/>
      <c r="DC195" s="51"/>
      <c r="DD195" s="51"/>
      <c r="DE195" s="51"/>
      <c r="DF195" s="51"/>
      <c r="DG195" s="51"/>
      <c r="DH195" s="51"/>
      <c r="DI195" s="51"/>
      <c r="DJ195" s="51"/>
      <c r="DK195" s="51"/>
      <c r="DL195" s="51"/>
      <c r="DM195" s="51"/>
      <c r="DN195" s="51"/>
      <c r="DO195" s="51"/>
      <c r="DP195" s="51"/>
      <c r="DQ195" s="51"/>
      <c r="DR195" s="51"/>
      <c r="DS195" s="51"/>
      <c r="DT195" s="51"/>
      <c r="DU195" s="51"/>
      <c r="DV195" s="51"/>
      <c r="DW195" s="51"/>
      <c r="DX195" s="51"/>
      <c r="DY195" s="51"/>
      <c r="DZ195" s="51"/>
      <c r="EA195" s="51"/>
      <c r="EB195" s="51"/>
      <c r="EC195" s="51"/>
      <c r="ED195" s="51"/>
      <c r="EE195" s="51"/>
      <c r="EF195" s="51"/>
      <c r="EG195" s="51"/>
      <c r="EH195" s="51"/>
      <c r="EI195" s="51"/>
      <c r="EJ195" s="51"/>
      <c r="EK195" s="51"/>
      <c r="EL195" s="51"/>
      <c r="EM195" s="51"/>
      <c r="EN195" s="51"/>
      <c r="EO195" s="51"/>
      <c r="EP195" s="51"/>
      <c r="EQ195" s="51"/>
      <c r="ER195" s="51"/>
      <c r="ES195" s="51"/>
      <c r="ET195" s="51"/>
      <c r="EU195" s="51"/>
      <c r="EV195" s="51"/>
      <c r="EW195" s="51"/>
      <c r="EX195" s="51"/>
      <c r="EY195" s="51"/>
      <c r="EZ195" s="51"/>
      <c r="FA195" s="51"/>
      <c r="FB195" s="51"/>
      <c r="FC195" s="51"/>
      <c r="FD195" s="51"/>
      <c r="FE195" s="51"/>
      <c r="FF195" s="51"/>
      <c r="FG195" s="51"/>
      <c r="FH195" s="51"/>
      <c r="FI195" s="51"/>
      <c r="FJ195" s="51"/>
      <c r="FK195" s="51"/>
      <c r="FL195" s="51"/>
      <c r="FM195" s="51"/>
      <c r="FN195" s="51"/>
      <c r="FO195" s="51"/>
      <c r="FP195" s="51"/>
      <c r="FQ195" s="51"/>
    </row>
    <row r="196" spans="1:173" s="51" customFormat="1" ht="100" customHeight="1">
      <c r="A196" s="21"/>
      <c r="B196" s="21"/>
      <c r="C196" s="32"/>
      <c r="D196" s="21"/>
      <c r="E196" s="30" t="s">
        <v>52</v>
      </c>
      <c r="F196" s="30" t="s">
        <v>51</v>
      </c>
      <c r="G196" s="13"/>
      <c r="H196" s="29">
        <v>45964</v>
      </c>
      <c r="I196" s="29"/>
      <c r="J196" s="29"/>
      <c r="K196" s="54"/>
      <c r="L196" s="47" t="s">
        <v>39</v>
      </c>
      <c r="M196" s="26"/>
      <c r="N196" s="25"/>
      <c r="O196" s="68" t="s">
        <v>50</v>
      </c>
      <c r="P196" s="23" t="s">
        <v>12</v>
      </c>
      <c r="Q196" s="23"/>
      <c r="R196" s="23"/>
      <c r="S196" s="23" t="s">
        <v>49</v>
      </c>
      <c r="T196" s="23"/>
      <c r="U196" s="23"/>
      <c r="V196" s="23"/>
      <c r="W196" s="23"/>
      <c r="X196" s="21"/>
      <c r="Y196" s="21"/>
      <c r="Z196" s="23"/>
      <c r="AA196" s="22"/>
      <c r="AB196" s="22"/>
      <c r="AC196" s="22"/>
      <c r="AD196" s="22"/>
      <c r="AE196" s="22"/>
      <c r="AF196" s="22"/>
      <c r="AG196" s="22"/>
      <c r="AH196" s="22">
        <f>(AA196*$AA$2)+(AB196*$AB$2)+(AC196*$AC$2)+(AD196*$AD$2)+(AE196*$AE$2)+(AF196*$AF$2)+(AG196*$AG$2)</f>
        <v>0</v>
      </c>
      <c r="AI196" s="22"/>
      <c r="AJ196" s="22"/>
      <c r="AK196" s="22"/>
      <c r="AL196" s="22"/>
      <c r="AM196" s="22"/>
      <c r="AN196" s="22"/>
      <c r="AO196" s="22"/>
      <c r="AP196" s="21">
        <f>(AI196*$AI$2)+(AJ196*$AJ$2)+(AK196*$AK$2)+(AL196*$AL$2)+(AM196*$AM$2)+(AN196*$AN$2)+(AO196*$AO$2)</f>
        <v>0</v>
      </c>
      <c r="AQ196" s="21">
        <f>AP196+AH196</f>
        <v>0</v>
      </c>
      <c r="AR196" s="20"/>
      <c r="AS196" s="20" t="s">
        <v>48</v>
      </c>
      <c r="AT196" s="18"/>
      <c r="AU196" s="17"/>
      <c r="AV196" s="17"/>
      <c r="AW196" s="17"/>
      <c r="AX196" s="17"/>
      <c r="AY196" s="17"/>
      <c r="AZ196" s="17"/>
      <c r="BA196" s="17"/>
      <c r="BB196" s="17"/>
      <c r="BC196" s="17"/>
      <c r="BD196" s="17"/>
      <c r="BE196" s="17"/>
      <c r="BF196" s="17"/>
      <c r="BG196" s="16"/>
      <c r="BH196" s="48"/>
      <c r="BI196" s="49"/>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c r="DO196" s="48"/>
      <c r="DP196" s="48"/>
      <c r="DQ196" s="48"/>
      <c r="DR196" s="48"/>
      <c r="DS196" s="48"/>
      <c r="DT196" s="48"/>
      <c r="DU196" s="48"/>
      <c r="DV196" s="48"/>
      <c r="DW196" s="48"/>
      <c r="DX196" s="48"/>
      <c r="DY196" s="48"/>
      <c r="DZ196" s="48"/>
      <c r="EA196" s="48"/>
      <c r="EB196" s="48"/>
      <c r="EC196" s="48"/>
      <c r="ED196" s="48"/>
      <c r="EE196" s="48"/>
      <c r="EF196" s="48"/>
      <c r="EG196" s="48"/>
      <c r="EH196" s="48"/>
      <c r="EI196" s="48"/>
      <c r="EJ196" s="48"/>
      <c r="EK196" s="48"/>
      <c r="EL196" s="48"/>
      <c r="EM196" s="48"/>
      <c r="EN196" s="48"/>
      <c r="EO196" s="48"/>
      <c r="EP196" s="48"/>
      <c r="EQ196" s="48"/>
      <c r="ER196" s="48"/>
      <c r="ES196" s="48"/>
      <c r="ET196" s="48"/>
      <c r="EU196" s="48"/>
      <c r="EV196" s="48"/>
      <c r="EW196" s="48"/>
      <c r="EX196" s="48"/>
      <c r="EY196" s="48"/>
      <c r="EZ196" s="48"/>
      <c r="FA196" s="48"/>
      <c r="FB196" s="48"/>
      <c r="FC196" s="48"/>
      <c r="FD196" s="48"/>
      <c r="FE196" s="48"/>
      <c r="FF196" s="48"/>
      <c r="FG196" s="48"/>
      <c r="FH196" s="48"/>
      <c r="FI196" s="48"/>
      <c r="FJ196" s="48"/>
      <c r="FK196" s="48"/>
      <c r="FL196" s="48"/>
      <c r="FM196" s="48"/>
      <c r="FN196" s="48"/>
      <c r="FO196" s="48"/>
      <c r="FP196" s="48"/>
      <c r="FQ196" s="48"/>
    </row>
    <row r="197" spans="1:173" s="48" customFormat="1" ht="123.5" customHeight="1">
      <c r="A197" s="21"/>
      <c r="B197" s="21"/>
      <c r="C197" s="32"/>
      <c r="D197" s="21"/>
      <c r="E197" s="69" t="s">
        <v>47</v>
      </c>
      <c r="F197" s="69" t="s">
        <v>46</v>
      </c>
      <c r="G197" s="69"/>
      <c r="H197" s="29">
        <v>45964</v>
      </c>
      <c r="I197" s="29"/>
      <c r="J197" s="29">
        <v>46082</v>
      </c>
      <c r="K197" s="17"/>
      <c r="L197" s="61" t="s">
        <v>39</v>
      </c>
      <c r="M197" s="26" t="s">
        <v>38</v>
      </c>
      <c r="N197" s="25"/>
      <c r="O197" s="68" t="s">
        <v>45</v>
      </c>
      <c r="P197" s="23" t="s">
        <v>33</v>
      </c>
      <c r="Q197" s="23" t="s">
        <v>44</v>
      </c>
      <c r="R197" s="23"/>
      <c r="S197" s="23" t="s">
        <v>37</v>
      </c>
      <c r="T197" s="23"/>
      <c r="U197" s="23" t="s">
        <v>22</v>
      </c>
      <c r="V197" s="23" t="s">
        <v>28</v>
      </c>
      <c r="W197" s="23"/>
      <c r="X197" s="21" t="s">
        <v>5</v>
      </c>
      <c r="Y197" s="21" t="s">
        <v>4</v>
      </c>
      <c r="Z197" s="67" t="s">
        <v>18</v>
      </c>
      <c r="AA197" s="22">
        <v>5</v>
      </c>
      <c r="AB197" s="22">
        <v>5</v>
      </c>
      <c r="AC197" s="22">
        <v>5</v>
      </c>
      <c r="AD197" s="22">
        <v>5</v>
      </c>
      <c r="AE197" s="22">
        <v>3</v>
      </c>
      <c r="AF197" s="22">
        <v>1</v>
      </c>
      <c r="AG197" s="22">
        <v>5</v>
      </c>
      <c r="AH197" s="22">
        <f>(AA197*$AA$2)+(AB197*$AB$2)+(AC197*$AC$2)+(AD197*$AD$2)+(AE197*$AE$2)+(AF197*$AF$2)+(AG197*$AG$2)</f>
        <v>435</v>
      </c>
      <c r="AI197" s="22">
        <v>5</v>
      </c>
      <c r="AJ197" s="22">
        <v>5</v>
      </c>
      <c r="AK197" s="22">
        <v>2</v>
      </c>
      <c r="AL197" s="22">
        <v>5</v>
      </c>
      <c r="AM197" s="22">
        <v>5</v>
      </c>
      <c r="AN197" s="22">
        <v>3</v>
      </c>
      <c r="AO197" s="22">
        <v>2</v>
      </c>
      <c r="AP197" s="21">
        <f>(AI197*$AI$2)+(AJ197*$AJ$2)+(AK197*$AK$2)+(AL197*$AL$2)+(AM197*$AM$2)+(AN197*$AN$2)+(AO197*$AO$2)</f>
        <v>405</v>
      </c>
      <c r="AQ197" s="21">
        <f>AP197+AH197</f>
        <v>840</v>
      </c>
      <c r="AR197" s="20"/>
      <c r="AS197" s="20"/>
      <c r="AT197" s="18"/>
      <c r="AU197" s="17"/>
      <c r="AV197" s="17"/>
      <c r="AW197" s="17"/>
      <c r="AX197" s="17"/>
      <c r="AY197" s="17"/>
      <c r="AZ197" s="17"/>
      <c r="BA197" s="17"/>
      <c r="BB197" s="17"/>
      <c r="BC197" s="17"/>
      <c r="BD197" s="17"/>
      <c r="BE197" s="17"/>
      <c r="BF197" s="17"/>
      <c r="BG197" s="16"/>
      <c r="BI197" s="49"/>
    </row>
    <row r="198" spans="1:173" s="48" customFormat="1" ht="86.5" customHeight="1">
      <c r="A198" s="21"/>
      <c r="B198" s="21"/>
      <c r="C198" s="32"/>
      <c r="D198" s="21"/>
      <c r="E198" s="66" t="s">
        <v>43</v>
      </c>
      <c r="F198" s="65"/>
      <c r="G198" s="30"/>
      <c r="H198" s="29">
        <v>45979</v>
      </c>
      <c r="I198" s="29"/>
      <c r="J198" s="29"/>
      <c r="K198" s="64"/>
      <c r="L198" s="61" t="s">
        <v>39</v>
      </c>
      <c r="M198" s="26" t="s">
        <v>38</v>
      </c>
      <c r="N198" s="25"/>
      <c r="O198" s="23" t="s">
        <v>13</v>
      </c>
      <c r="P198" s="23" t="s">
        <v>33</v>
      </c>
      <c r="Q198" s="23"/>
      <c r="R198" s="23"/>
      <c r="S198" s="23" t="s">
        <v>37</v>
      </c>
      <c r="T198" s="23"/>
      <c r="U198" s="23"/>
      <c r="V198" s="23" t="s">
        <v>28</v>
      </c>
      <c r="W198" s="23"/>
      <c r="X198" s="21" t="s">
        <v>5</v>
      </c>
      <c r="Y198" s="21" t="s">
        <v>42</v>
      </c>
      <c r="Z198" s="23"/>
      <c r="AA198" s="22"/>
      <c r="AB198" s="22"/>
      <c r="AC198" s="22"/>
      <c r="AD198" s="22"/>
      <c r="AE198" s="22"/>
      <c r="AF198" s="22"/>
      <c r="AG198" s="22"/>
      <c r="AH198" s="22">
        <f>(AA198*$AA$2)+(AB198*$AB$2)+(AC198*$AC$2)+(AD198*$AD$2)+(AE198*$AE$2)+(AF198*$AF$2)+(AG198*$AG$2)</f>
        <v>0</v>
      </c>
      <c r="AI198" s="22">
        <v>5</v>
      </c>
      <c r="AJ198" s="22">
        <v>5</v>
      </c>
      <c r="AK198" s="22">
        <v>2</v>
      </c>
      <c r="AL198" s="22">
        <v>5</v>
      </c>
      <c r="AM198" s="22">
        <v>4</v>
      </c>
      <c r="AN198" s="22">
        <v>5</v>
      </c>
      <c r="AO198" s="22">
        <v>4</v>
      </c>
      <c r="AP198" s="21">
        <f>(AI198*$AI$2)+(AJ198*$AJ$2)+(AK198*$AK$2)+(AL198*$AL$2)+(AM198*$AM$2)+(AN198*$AN$2)+(AO198*$AO$2)</f>
        <v>450</v>
      </c>
      <c r="AQ198" s="21"/>
      <c r="AR198" s="20"/>
      <c r="AS198" s="20"/>
      <c r="AT198" s="18"/>
      <c r="AU198" s="17"/>
      <c r="AV198" s="17"/>
      <c r="AW198" s="17"/>
      <c r="AX198" s="17"/>
      <c r="AY198" s="17"/>
      <c r="AZ198" s="17"/>
      <c r="BA198" s="17"/>
      <c r="BB198" s="17"/>
      <c r="BC198" s="17"/>
      <c r="BD198" s="17"/>
      <c r="BE198" s="17"/>
      <c r="BF198" s="17"/>
      <c r="BG198" s="16"/>
      <c r="BI198" s="49"/>
    </row>
    <row r="199" spans="1:173" s="48" customFormat="1" ht="26">
      <c r="A199" s="21"/>
      <c r="B199" s="21"/>
      <c r="C199" s="32"/>
      <c r="D199" s="21"/>
      <c r="E199" s="66" t="s">
        <v>41</v>
      </c>
      <c r="F199" s="65" t="s">
        <v>40</v>
      </c>
      <c r="G199" s="30"/>
      <c r="H199" s="29">
        <v>45979</v>
      </c>
      <c r="I199" s="29"/>
      <c r="J199" s="29"/>
      <c r="K199" s="64"/>
      <c r="L199" s="61" t="s">
        <v>39</v>
      </c>
      <c r="M199" s="26" t="s">
        <v>38</v>
      </c>
      <c r="N199" s="25"/>
      <c r="O199" s="23" t="s">
        <v>13</v>
      </c>
      <c r="P199" s="23" t="s">
        <v>33</v>
      </c>
      <c r="Q199" s="23"/>
      <c r="R199" s="23"/>
      <c r="S199" s="23" t="s">
        <v>37</v>
      </c>
      <c r="T199" s="23"/>
      <c r="U199" s="23"/>
      <c r="V199" s="23" t="s">
        <v>28</v>
      </c>
      <c r="W199" s="23"/>
      <c r="X199" s="21" t="s">
        <v>5</v>
      </c>
      <c r="Y199" s="21"/>
      <c r="Z199" s="23"/>
      <c r="AA199" s="22"/>
      <c r="AB199" s="22"/>
      <c r="AC199" s="22"/>
      <c r="AD199" s="22"/>
      <c r="AE199" s="22"/>
      <c r="AF199" s="22"/>
      <c r="AG199" s="22"/>
      <c r="AH199" s="22">
        <f>(AA199*$AA$2)+(AB199*$AB$2)+(AC199*$AC$2)+(AD199*$AD$2)+(AE199*$AE$2)+(AF199*$AF$2)+(AG199*$AG$2)</f>
        <v>0</v>
      </c>
      <c r="AI199" s="22">
        <v>5</v>
      </c>
      <c r="AJ199" s="22">
        <v>5</v>
      </c>
      <c r="AK199" s="22">
        <v>3</v>
      </c>
      <c r="AL199" s="22">
        <v>5</v>
      </c>
      <c r="AM199" s="22">
        <v>5</v>
      </c>
      <c r="AN199" s="22">
        <v>5</v>
      </c>
      <c r="AO199" s="22">
        <v>5</v>
      </c>
      <c r="AP199" s="21">
        <f>(AI199*$AI$2)+(AJ199*$AJ$2)+(AK199*$AK$2)+(AL199*$AL$2)+(AM199*$AM$2)+(AN199*$AN$2)+(AO199*$AO$2)</f>
        <v>495</v>
      </c>
      <c r="AQ199" s="21"/>
      <c r="AR199" s="20"/>
      <c r="AS199" s="20"/>
      <c r="AT199" s="18"/>
      <c r="AU199" s="17"/>
      <c r="AV199" s="17"/>
      <c r="AW199" s="17"/>
      <c r="AX199" s="17"/>
      <c r="AY199" s="17"/>
      <c r="AZ199" s="17"/>
      <c r="BA199" s="17"/>
      <c r="BB199" s="17"/>
      <c r="BC199" s="17"/>
      <c r="BD199" s="17"/>
      <c r="BE199" s="17"/>
      <c r="BF199" s="17"/>
      <c r="BG199" s="16"/>
      <c r="BI199" s="49"/>
    </row>
    <row r="200" spans="1:173" s="48" customFormat="1" ht="84">
      <c r="A200" s="21"/>
      <c r="B200" s="21"/>
      <c r="C200" s="32"/>
      <c r="D200" s="21"/>
      <c r="E200" s="62" t="s">
        <v>36</v>
      </c>
      <c r="F200" s="63" t="s">
        <v>35</v>
      </c>
      <c r="G200" s="62" t="s">
        <v>34</v>
      </c>
      <c r="H200" s="29">
        <v>45979</v>
      </c>
      <c r="I200" s="29">
        <v>45992</v>
      </c>
      <c r="J200" s="29">
        <v>46006</v>
      </c>
      <c r="K200" s="54">
        <f>J200-I200</f>
        <v>14</v>
      </c>
      <c r="L200" s="61" t="s">
        <v>14</v>
      </c>
      <c r="M200" s="23" t="s">
        <v>13</v>
      </c>
      <c r="N200" s="23" t="s">
        <v>33</v>
      </c>
      <c r="O200" s="23" t="s">
        <v>32</v>
      </c>
      <c r="P200" s="23" t="s">
        <v>12</v>
      </c>
      <c r="Q200" s="16" t="s">
        <v>31</v>
      </c>
      <c r="R200" s="23" t="s">
        <v>30</v>
      </c>
      <c r="S200" s="23" t="s">
        <v>29</v>
      </c>
      <c r="T200" s="23" t="s">
        <v>29</v>
      </c>
      <c r="U200" s="23" t="s">
        <v>8</v>
      </c>
      <c r="V200" s="21" t="s">
        <v>28</v>
      </c>
      <c r="W200" s="23" t="s">
        <v>27</v>
      </c>
      <c r="X200" s="22"/>
      <c r="Y200" s="22" t="s">
        <v>4</v>
      </c>
      <c r="Z200" s="22" t="s">
        <v>18</v>
      </c>
      <c r="AA200" s="22"/>
      <c r="AB200" s="22"/>
      <c r="AC200" s="22"/>
      <c r="AD200" s="22"/>
      <c r="AE200" s="22"/>
      <c r="AF200" s="22"/>
      <c r="AG200" s="22"/>
      <c r="AH200" s="22">
        <f>(AA200*$AA$2)+(AB200*$AB$2)+(AC200*$AC$2)+(AD200*$AD$2)+(AE200*$AE$2)+(AF200*$AF$2)+(AG200*$AG$2)</f>
        <v>0</v>
      </c>
      <c r="AI200" s="22"/>
      <c r="AJ200" s="22"/>
      <c r="AK200" s="22"/>
      <c r="AL200" s="22"/>
      <c r="AM200" s="21">
        <v>0</v>
      </c>
      <c r="AN200" s="21"/>
      <c r="AO200" s="20"/>
      <c r="AP200" s="20"/>
      <c r="AQ200" s="18"/>
      <c r="AR200" s="17"/>
      <c r="AS200" s="60" t="s">
        <v>26</v>
      </c>
      <c r="AT200" s="17"/>
      <c r="AU200" s="17"/>
      <c r="AV200" s="17"/>
      <c r="AW200" s="17"/>
      <c r="AX200" s="17"/>
      <c r="AY200" s="17"/>
      <c r="AZ200" s="17"/>
      <c r="BA200" s="17"/>
      <c r="BB200" s="17"/>
      <c r="BC200" s="17"/>
      <c r="BD200" s="16"/>
      <c r="BE200" s="51"/>
      <c r="BF200" s="51"/>
      <c r="BG200" s="16" t="s">
        <v>0</v>
      </c>
      <c r="BH200" s="51"/>
      <c r="BI200" s="59"/>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c r="CQ200" s="51"/>
      <c r="CR200" s="51"/>
      <c r="CS200" s="51"/>
      <c r="CT200" s="51"/>
      <c r="CU200" s="51"/>
      <c r="CV200" s="51"/>
      <c r="CW200" s="51"/>
      <c r="CX200" s="51"/>
      <c r="CY200" s="51"/>
      <c r="CZ200" s="51"/>
      <c r="DA200" s="51"/>
      <c r="DB200" s="51"/>
      <c r="DC200" s="51"/>
      <c r="DD200" s="51"/>
      <c r="DE200" s="51"/>
      <c r="DF200" s="51"/>
      <c r="DG200" s="51"/>
    </row>
    <row r="201" spans="1:173" s="48" customFormat="1" ht="26">
      <c r="A201" s="21"/>
      <c r="B201" s="21"/>
      <c r="C201" s="32"/>
      <c r="D201" s="21"/>
      <c r="E201" s="30" t="s">
        <v>25</v>
      </c>
      <c r="F201" s="30" t="s">
        <v>24</v>
      </c>
      <c r="G201" s="30"/>
      <c r="H201" s="29">
        <v>45992</v>
      </c>
      <c r="I201" s="29"/>
      <c r="J201" s="29"/>
      <c r="K201" s="54"/>
      <c r="L201" s="47" t="s">
        <v>23</v>
      </c>
      <c r="M201" s="26"/>
      <c r="N201" s="25"/>
      <c r="O201" s="23" t="s">
        <v>13</v>
      </c>
      <c r="P201" s="23"/>
      <c r="Q201" s="23"/>
      <c r="R201" s="23" t="s">
        <v>22</v>
      </c>
      <c r="S201" s="23" t="s">
        <v>21</v>
      </c>
      <c r="T201" s="23" t="s">
        <v>20</v>
      </c>
      <c r="U201" s="23"/>
      <c r="V201" s="23"/>
      <c r="W201" s="23"/>
      <c r="X201" s="21"/>
      <c r="Y201" s="21" t="s">
        <v>19</v>
      </c>
      <c r="Z201" s="23" t="s">
        <v>18</v>
      </c>
      <c r="AA201" s="22">
        <v>5</v>
      </c>
      <c r="AB201" s="22">
        <v>5</v>
      </c>
      <c r="AC201" s="22">
        <v>1</v>
      </c>
      <c r="AD201" s="22">
        <v>5</v>
      </c>
      <c r="AE201" s="22">
        <v>0</v>
      </c>
      <c r="AF201" s="22">
        <v>1</v>
      </c>
      <c r="AG201" s="22">
        <v>3</v>
      </c>
      <c r="AH201" s="22">
        <f>(AA201*$AA$2)+(AB201*$AB$2)+(AC201*$AC$2)+(AD201*$AD$2)+(AE201*$AE$2)+(AF201*$AF$2)+(AG201*$AG$2)</f>
        <v>300</v>
      </c>
      <c r="AI201" s="22"/>
      <c r="AJ201" s="22"/>
      <c r="AK201" s="22"/>
      <c r="AL201" s="22"/>
      <c r="AM201" s="22"/>
      <c r="AN201" s="22"/>
      <c r="AO201" s="22"/>
      <c r="AP201" s="21"/>
      <c r="AQ201" s="21"/>
      <c r="AR201" s="20"/>
      <c r="AS201" s="20"/>
      <c r="AT201" s="18"/>
      <c r="AU201" s="17"/>
      <c r="AV201" s="17"/>
      <c r="AW201" s="17"/>
      <c r="AX201" s="17"/>
      <c r="AY201" s="17"/>
      <c r="AZ201" s="17"/>
      <c r="BA201" s="17"/>
      <c r="BB201" s="17"/>
      <c r="BC201" s="17"/>
      <c r="BD201" s="17"/>
      <c r="BE201" s="17"/>
      <c r="BF201" s="17"/>
      <c r="BG201" s="16"/>
      <c r="BI201" s="49"/>
    </row>
    <row r="202" spans="1:173" ht="98">
      <c r="A202" s="21"/>
      <c r="B202" s="21">
        <v>133</v>
      </c>
      <c r="C202" s="21"/>
      <c r="D202" s="21"/>
      <c r="E202" s="58" t="s">
        <v>17</v>
      </c>
      <c r="F202" s="57" t="s">
        <v>16</v>
      </c>
      <c r="G202" s="56" t="s">
        <v>15</v>
      </c>
      <c r="H202" s="29">
        <v>45999</v>
      </c>
      <c r="I202" s="55">
        <v>45999</v>
      </c>
      <c r="J202" s="55">
        <v>46052</v>
      </c>
      <c r="K202" s="54">
        <f>J202-I202</f>
        <v>53</v>
      </c>
      <c r="L202" s="47" t="s">
        <v>14</v>
      </c>
      <c r="M202" s="16" t="s">
        <v>6</v>
      </c>
      <c r="N202" s="53"/>
      <c r="O202" s="23" t="s">
        <v>13</v>
      </c>
      <c r="P202" s="23" t="s">
        <v>12</v>
      </c>
      <c r="Q202" s="23" t="s">
        <v>11</v>
      </c>
      <c r="R202" s="23" t="s">
        <v>4</v>
      </c>
      <c r="S202" s="23" t="s">
        <v>10</v>
      </c>
      <c r="T202" s="23" t="s">
        <v>9</v>
      </c>
      <c r="U202" s="23" t="s">
        <v>8</v>
      </c>
      <c r="V202" s="23" t="s">
        <v>7</v>
      </c>
      <c r="W202" s="23" t="s">
        <v>6</v>
      </c>
      <c r="X202" s="21" t="s">
        <v>5</v>
      </c>
      <c r="Y202" s="23" t="s">
        <v>4</v>
      </c>
      <c r="Z202" s="23" t="s">
        <v>3</v>
      </c>
      <c r="AA202" s="23">
        <v>3</v>
      </c>
      <c r="AB202" s="23">
        <v>5</v>
      </c>
      <c r="AC202" s="23">
        <v>2</v>
      </c>
      <c r="AD202" s="23">
        <v>5</v>
      </c>
      <c r="AE202" s="23">
        <v>1</v>
      </c>
      <c r="AF202" s="23">
        <v>3</v>
      </c>
      <c r="AG202" s="23">
        <v>5</v>
      </c>
      <c r="AH202" s="22">
        <f>(AA202*$AA$2)+(AB202*$AB$2)+(AC202*$AC$2)+(AD202*$AD$2)+(AE202*$AE$2)+(AF202*$AF$2)+(AG202*$AG$2)</f>
        <v>360</v>
      </c>
      <c r="AI202" s="23">
        <v>5</v>
      </c>
      <c r="AJ202" s="23">
        <v>5</v>
      </c>
      <c r="AK202" s="23">
        <v>3</v>
      </c>
      <c r="AL202" s="23">
        <v>3</v>
      </c>
      <c r="AM202" s="23">
        <v>5</v>
      </c>
      <c r="AN202" s="23">
        <v>5</v>
      </c>
      <c r="AO202" s="23">
        <v>5</v>
      </c>
      <c r="AP202" s="21">
        <f>(AI202*$AI$2)+(AJ202*$AJ$2)+(AK202*$AK$2)+(AL202*$AL$2)+(AM202*$AM$2)+(AN202*$AN$2)+(AO202*$AO$2)</f>
        <v>465</v>
      </c>
      <c r="AQ202" s="21">
        <f>AP202+AH202</f>
        <v>825</v>
      </c>
      <c r="AR202" s="20" t="s">
        <v>2</v>
      </c>
      <c r="AS202" s="23" t="s">
        <v>1</v>
      </c>
      <c r="AT202" s="18"/>
      <c r="AU202" s="23"/>
      <c r="AV202" s="23"/>
      <c r="AW202" s="23"/>
      <c r="AX202" s="23"/>
      <c r="AY202" s="23"/>
      <c r="AZ202" s="23"/>
      <c r="BA202" s="23"/>
      <c r="BB202" s="23"/>
      <c r="BC202" s="23"/>
      <c r="BD202" s="52">
        <f>SUM(AX202:BC202)</f>
        <v>0</v>
      </c>
      <c r="BE202" s="23"/>
      <c r="BF202" s="23"/>
      <c r="BG202" s="16" t="s">
        <v>0</v>
      </c>
      <c r="BH202" s="51"/>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c r="CO202" s="50"/>
      <c r="CP202" s="50"/>
      <c r="CQ202" s="50"/>
      <c r="CR202" s="50"/>
      <c r="CS202" s="50"/>
      <c r="CT202" s="50"/>
      <c r="CU202" s="50"/>
      <c r="CV202" s="50"/>
      <c r="CW202" s="50"/>
      <c r="CX202" s="50"/>
      <c r="CY202" s="50"/>
      <c r="CZ202" s="50"/>
      <c r="DA202" s="50"/>
      <c r="DB202" s="50"/>
      <c r="DC202" s="50"/>
      <c r="DD202" s="50"/>
      <c r="DE202" s="50"/>
      <c r="DF202" s="50"/>
      <c r="DG202" s="50"/>
      <c r="DH202" s="50"/>
      <c r="DI202" s="50"/>
      <c r="DJ202" s="50"/>
      <c r="DK202" s="50"/>
      <c r="DL202" s="50"/>
      <c r="DM202" s="50"/>
      <c r="DN202" s="50"/>
      <c r="DO202" s="50"/>
      <c r="DP202" s="50"/>
      <c r="DQ202" s="50"/>
      <c r="DR202" s="50"/>
      <c r="DS202" s="50"/>
      <c r="DT202" s="50"/>
      <c r="DU202" s="50"/>
      <c r="DV202" s="50"/>
      <c r="DW202" s="50"/>
      <c r="DX202" s="50"/>
      <c r="DY202" s="50"/>
      <c r="DZ202" s="50"/>
      <c r="EA202" s="50"/>
      <c r="EB202" s="50"/>
      <c r="EC202" s="50"/>
      <c r="ED202" s="50"/>
      <c r="EE202" s="50"/>
      <c r="EF202" s="50"/>
      <c r="EG202" s="50"/>
      <c r="EH202" s="50"/>
      <c r="EI202" s="50"/>
      <c r="EJ202" s="50"/>
      <c r="EK202" s="50"/>
      <c r="EL202" s="50"/>
      <c r="EM202" s="50"/>
      <c r="EN202" s="50"/>
      <c r="EO202" s="50"/>
      <c r="EP202" s="50"/>
      <c r="EQ202" s="50"/>
      <c r="ER202" s="50"/>
      <c r="ES202" s="50"/>
      <c r="ET202" s="50"/>
      <c r="EU202" s="50"/>
      <c r="EV202" s="50"/>
      <c r="EW202" s="50"/>
      <c r="EX202" s="50"/>
      <c r="EY202" s="50"/>
      <c r="EZ202" s="50"/>
      <c r="FA202" s="50"/>
      <c r="FB202" s="50"/>
      <c r="FC202" s="50"/>
      <c r="FD202" s="50"/>
      <c r="FE202" s="50"/>
      <c r="FF202" s="50"/>
      <c r="FG202" s="50"/>
      <c r="FH202" s="50"/>
      <c r="FI202" s="50"/>
      <c r="FJ202" s="50"/>
      <c r="FK202" s="50"/>
      <c r="FL202" s="50"/>
      <c r="FM202" s="50"/>
      <c r="FN202" s="50"/>
      <c r="FO202" s="50"/>
      <c r="FP202" s="50"/>
      <c r="FQ202" s="50"/>
    </row>
    <row r="203" spans="1:173" s="48" customFormat="1">
      <c r="A203" s="21"/>
      <c r="B203" s="21"/>
      <c r="C203" s="32"/>
      <c r="D203" s="21"/>
      <c r="E203" s="31"/>
      <c r="F203" s="30"/>
      <c r="G203" s="30"/>
      <c r="H203" s="29"/>
      <c r="I203" s="29"/>
      <c r="J203" s="29"/>
      <c r="K203" s="17"/>
      <c r="L203" s="47"/>
      <c r="M203" s="26"/>
      <c r="N203" s="25"/>
      <c r="O203" s="23"/>
      <c r="P203" s="23"/>
      <c r="Q203" s="23"/>
      <c r="R203" s="23"/>
      <c r="S203" s="23"/>
      <c r="T203" s="23"/>
      <c r="U203" s="23"/>
      <c r="V203" s="23"/>
      <c r="W203" s="23"/>
      <c r="X203" s="21"/>
      <c r="Y203" s="21"/>
      <c r="Z203" s="23"/>
      <c r="AA203" s="22"/>
      <c r="AB203" s="22"/>
      <c r="AC203" s="22"/>
      <c r="AD203" s="22"/>
      <c r="AE203" s="22"/>
      <c r="AF203" s="22"/>
      <c r="AG203" s="22"/>
      <c r="AH203" s="22"/>
      <c r="AI203" s="22"/>
      <c r="AJ203" s="22"/>
      <c r="AK203" s="22"/>
      <c r="AL203" s="22"/>
      <c r="AM203" s="22"/>
      <c r="AN203" s="22"/>
      <c r="AO203" s="22"/>
      <c r="AP203" s="21"/>
      <c r="AQ203" s="21"/>
      <c r="AR203" s="20"/>
      <c r="AS203" s="20"/>
      <c r="AT203" s="18"/>
      <c r="AU203" s="17"/>
      <c r="AV203" s="17"/>
      <c r="AW203" s="17"/>
      <c r="AX203" s="17"/>
      <c r="AY203" s="17"/>
      <c r="AZ203" s="17"/>
      <c r="BA203" s="17"/>
      <c r="BB203" s="17"/>
      <c r="BC203" s="17"/>
      <c r="BD203" s="17"/>
      <c r="BE203" s="17"/>
      <c r="BF203" s="17"/>
      <c r="BG203" s="16"/>
      <c r="BI203" s="49"/>
    </row>
    <row r="204" spans="1:173" s="48" customFormat="1">
      <c r="A204" s="21"/>
      <c r="B204" s="21"/>
      <c r="C204" s="32"/>
      <c r="D204" s="21"/>
      <c r="E204" s="31"/>
      <c r="F204" s="30"/>
      <c r="G204" s="30"/>
      <c r="H204" s="29"/>
      <c r="I204" s="29"/>
      <c r="J204" s="29"/>
      <c r="K204" s="17"/>
      <c r="L204" s="47"/>
      <c r="M204" s="26"/>
      <c r="N204" s="25"/>
      <c r="O204" s="23"/>
      <c r="P204" s="23"/>
      <c r="Q204" s="23"/>
      <c r="R204" s="23"/>
      <c r="S204" s="23"/>
      <c r="T204" s="23"/>
      <c r="U204" s="23"/>
      <c r="V204" s="23"/>
      <c r="W204" s="23"/>
      <c r="X204" s="21"/>
      <c r="Y204" s="21"/>
      <c r="Z204" s="23"/>
      <c r="AA204" s="22"/>
      <c r="AB204" s="22"/>
      <c r="AC204" s="22"/>
      <c r="AD204" s="22"/>
      <c r="AE204" s="22"/>
      <c r="AF204" s="22"/>
      <c r="AG204" s="22"/>
      <c r="AH204" s="22"/>
      <c r="AI204" s="22"/>
      <c r="AJ204" s="22"/>
      <c r="AK204" s="22"/>
      <c r="AL204" s="22"/>
      <c r="AM204" s="22"/>
      <c r="AN204" s="22"/>
      <c r="AO204" s="22"/>
      <c r="AP204" s="21"/>
      <c r="AQ204" s="21"/>
      <c r="AR204" s="20"/>
      <c r="AS204" s="20"/>
      <c r="AT204" s="18"/>
      <c r="AU204" s="17"/>
      <c r="AV204" s="17"/>
      <c r="AW204" s="17"/>
      <c r="AX204" s="17"/>
      <c r="AY204" s="17"/>
      <c r="AZ204" s="17"/>
      <c r="BA204" s="17"/>
      <c r="BB204" s="17"/>
      <c r="BC204" s="17"/>
      <c r="BD204" s="17"/>
      <c r="BE204" s="17"/>
      <c r="BF204" s="17"/>
      <c r="BG204" s="16"/>
      <c r="BI204" s="49"/>
    </row>
    <row r="205" spans="1:173" s="48" customFormat="1">
      <c r="A205" s="21"/>
      <c r="B205" s="21"/>
      <c r="C205" s="32"/>
      <c r="D205" s="21"/>
      <c r="E205" s="31"/>
      <c r="F205" s="30"/>
      <c r="G205" s="30"/>
      <c r="H205" s="29"/>
      <c r="I205" s="29"/>
      <c r="J205" s="29"/>
      <c r="K205" s="17"/>
      <c r="L205" s="47"/>
      <c r="M205" s="26"/>
      <c r="N205" s="25"/>
      <c r="O205" s="23"/>
      <c r="P205" s="23"/>
      <c r="Q205" s="23"/>
      <c r="R205" s="23"/>
      <c r="S205" s="23"/>
      <c r="T205" s="23"/>
      <c r="U205" s="23"/>
      <c r="V205" s="23"/>
      <c r="W205" s="23"/>
      <c r="X205" s="21"/>
      <c r="Y205" s="21"/>
      <c r="Z205" s="23"/>
      <c r="AA205" s="22"/>
      <c r="AB205" s="22"/>
      <c r="AC205" s="22"/>
      <c r="AD205" s="22"/>
      <c r="AE205" s="22"/>
      <c r="AF205" s="22"/>
      <c r="AG205" s="22"/>
      <c r="AH205" s="22"/>
      <c r="AI205" s="22"/>
      <c r="AJ205" s="22"/>
      <c r="AK205" s="22"/>
      <c r="AL205" s="22"/>
      <c r="AM205" s="22"/>
      <c r="AN205" s="22"/>
      <c r="AO205" s="22"/>
      <c r="AP205" s="21"/>
      <c r="AQ205" s="21"/>
      <c r="AR205" s="20"/>
      <c r="AS205" s="20"/>
      <c r="AT205" s="18"/>
      <c r="AU205" s="17"/>
      <c r="AV205" s="17"/>
      <c r="AW205" s="17"/>
      <c r="AX205" s="17"/>
      <c r="AY205" s="17"/>
      <c r="AZ205" s="17"/>
      <c r="BA205" s="17"/>
      <c r="BB205" s="17"/>
      <c r="BC205" s="17"/>
      <c r="BD205" s="17"/>
      <c r="BE205" s="17"/>
      <c r="BF205" s="17"/>
      <c r="BG205" s="16"/>
      <c r="BI205" s="49"/>
    </row>
    <row r="206" spans="1:173" s="48" customFormat="1">
      <c r="A206" s="21"/>
      <c r="B206" s="21"/>
      <c r="C206" s="32"/>
      <c r="D206" s="21"/>
      <c r="E206" s="31"/>
      <c r="F206" s="30"/>
      <c r="G206" s="30"/>
      <c r="H206" s="29"/>
      <c r="I206" s="29"/>
      <c r="J206" s="29"/>
      <c r="K206" s="17"/>
      <c r="L206" s="47"/>
      <c r="M206" s="26"/>
      <c r="N206" s="25"/>
      <c r="O206" s="23"/>
      <c r="P206" s="23"/>
      <c r="Q206" s="23"/>
      <c r="R206" s="23"/>
      <c r="S206" s="23"/>
      <c r="T206" s="23"/>
      <c r="U206" s="23"/>
      <c r="V206" s="23"/>
      <c r="W206" s="23"/>
      <c r="X206" s="21"/>
      <c r="Y206" s="21"/>
      <c r="Z206" s="23"/>
      <c r="AA206" s="22"/>
      <c r="AB206" s="22"/>
      <c r="AC206" s="22"/>
      <c r="AD206" s="22"/>
      <c r="AE206" s="22"/>
      <c r="AF206" s="22"/>
      <c r="AG206" s="22"/>
      <c r="AH206" s="22"/>
      <c r="AI206" s="22"/>
      <c r="AJ206" s="22"/>
      <c r="AK206" s="22"/>
      <c r="AL206" s="22"/>
      <c r="AM206" s="22"/>
      <c r="AN206" s="22"/>
      <c r="AO206" s="22"/>
      <c r="AP206" s="21"/>
      <c r="AQ206" s="21"/>
      <c r="AR206" s="20"/>
      <c r="AS206" s="20"/>
      <c r="AT206" s="18"/>
      <c r="AU206" s="17"/>
      <c r="AV206" s="17"/>
      <c r="AW206" s="17"/>
      <c r="AX206" s="17"/>
      <c r="AY206" s="17"/>
      <c r="AZ206" s="17"/>
      <c r="BA206" s="17"/>
      <c r="BB206" s="17"/>
      <c r="BC206" s="17"/>
      <c r="BD206" s="17"/>
      <c r="BE206" s="17"/>
      <c r="BF206" s="17"/>
      <c r="BG206" s="16"/>
      <c r="BI206" s="49"/>
    </row>
    <row r="207" spans="1:173" s="48" customFormat="1">
      <c r="A207" s="21"/>
      <c r="B207" s="21"/>
      <c r="C207" s="32"/>
      <c r="D207" s="21"/>
      <c r="E207" s="31"/>
      <c r="F207" s="30"/>
      <c r="G207" s="30"/>
      <c r="H207" s="29"/>
      <c r="I207" s="29"/>
      <c r="J207" s="29"/>
      <c r="K207" s="17"/>
      <c r="L207" s="47"/>
      <c r="M207" s="26"/>
      <c r="N207" s="25"/>
      <c r="O207" s="23"/>
      <c r="P207" s="23"/>
      <c r="Q207" s="23"/>
      <c r="R207" s="23"/>
      <c r="S207" s="23"/>
      <c r="T207" s="23"/>
      <c r="U207" s="23"/>
      <c r="V207" s="23"/>
      <c r="W207" s="23"/>
      <c r="X207" s="21"/>
      <c r="Y207" s="21"/>
      <c r="Z207" s="23"/>
      <c r="AA207" s="22"/>
      <c r="AB207" s="22"/>
      <c r="AC207" s="22"/>
      <c r="AD207" s="22"/>
      <c r="AE207" s="22"/>
      <c r="AF207" s="22"/>
      <c r="AG207" s="22"/>
      <c r="AH207" s="22"/>
      <c r="AI207" s="22"/>
      <c r="AJ207" s="22"/>
      <c r="AK207" s="22"/>
      <c r="AL207" s="22"/>
      <c r="AM207" s="22"/>
      <c r="AN207" s="22"/>
      <c r="AO207" s="22"/>
      <c r="AP207" s="21"/>
      <c r="AQ207" s="21"/>
      <c r="AR207" s="20"/>
      <c r="AS207" s="20"/>
      <c r="AT207" s="18"/>
      <c r="AU207" s="17"/>
      <c r="AV207" s="17"/>
      <c r="AW207" s="17"/>
      <c r="AX207" s="17"/>
      <c r="AY207" s="17"/>
      <c r="AZ207" s="17"/>
      <c r="BA207" s="17"/>
      <c r="BB207" s="17"/>
      <c r="BC207" s="17"/>
      <c r="BD207" s="17"/>
      <c r="BE207" s="17"/>
      <c r="BF207" s="17"/>
      <c r="BG207" s="16"/>
      <c r="BI207" s="49"/>
    </row>
    <row r="208" spans="1:173" s="48" customFormat="1">
      <c r="A208" s="21"/>
      <c r="B208" s="21"/>
      <c r="C208" s="32"/>
      <c r="D208" s="21"/>
      <c r="E208" s="31"/>
      <c r="F208" s="30"/>
      <c r="G208" s="30"/>
      <c r="H208" s="29"/>
      <c r="I208" s="29"/>
      <c r="J208" s="29"/>
      <c r="K208" s="17"/>
      <c r="L208" s="47"/>
      <c r="M208" s="26"/>
      <c r="N208" s="25"/>
      <c r="O208" s="23"/>
      <c r="P208" s="23"/>
      <c r="Q208" s="23"/>
      <c r="R208" s="23"/>
      <c r="S208" s="23"/>
      <c r="T208" s="23"/>
      <c r="U208" s="23"/>
      <c r="V208" s="23"/>
      <c r="W208" s="23"/>
      <c r="X208" s="21"/>
      <c r="Y208" s="21"/>
      <c r="Z208" s="23"/>
      <c r="AA208" s="22"/>
      <c r="AB208" s="22"/>
      <c r="AC208" s="22"/>
      <c r="AD208" s="22"/>
      <c r="AE208" s="22"/>
      <c r="AF208" s="22"/>
      <c r="AG208" s="22"/>
      <c r="AH208" s="22"/>
      <c r="AI208" s="22"/>
      <c r="AJ208" s="22"/>
      <c r="AK208" s="22"/>
      <c r="AL208" s="22"/>
      <c r="AM208" s="22"/>
      <c r="AN208" s="22"/>
      <c r="AO208" s="22"/>
      <c r="AP208" s="21"/>
      <c r="AQ208" s="21"/>
      <c r="AR208" s="20"/>
      <c r="AS208" s="20"/>
      <c r="AT208" s="18"/>
      <c r="AU208" s="17"/>
      <c r="AV208" s="17"/>
      <c r="AW208" s="17"/>
      <c r="AX208" s="17"/>
      <c r="AY208" s="17"/>
      <c r="AZ208" s="17"/>
      <c r="BA208" s="17"/>
      <c r="BB208" s="17"/>
      <c r="BC208" s="17"/>
      <c r="BD208" s="17"/>
      <c r="BE208" s="17"/>
      <c r="BF208" s="17"/>
      <c r="BG208" s="16"/>
      <c r="BI208" s="49"/>
    </row>
    <row r="209" spans="1:61" s="48" customFormat="1">
      <c r="A209" s="21"/>
      <c r="B209" s="21"/>
      <c r="C209" s="32"/>
      <c r="D209" s="21"/>
      <c r="E209" s="31"/>
      <c r="F209" s="30"/>
      <c r="G209" s="30"/>
      <c r="H209" s="29"/>
      <c r="I209" s="29"/>
      <c r="J209" s="29"/>
      <c r="K209" s="17"/>
      <c r="L209" s="47"/>
      <c r="M209" s="26"/>
      <c r="N209" s="25"/>
      <c r="O209" s="23"/>
      <c r="P209" s="23"/>
      <c r="Q209" s="23"/>
      <c r="R209" s="23"/>
      <c r="S209" s="23"/>
      <c r="T209" s="23"/>
      <c r="U209" s="23"/>
      <c r="V209" s="23"/>
      <c r="W209" s="23"/>
      <c r="X209" s="21"/>
      <c r="Y209" s="21"/>
      <c r="Z209" s="23"/>
      <c r="AA209" s="22"/>
      <c r="AB209" s="22"/>
      <c r="AC209" s="22"/>
      <c r="AD209" s="22"/>
      <c r="AE209" s="22"/>
      <c r="AF209" s="22"/>
      <c r="AG209" s="22"/>
      <c r="AH209" s="22"/>
      <c r="AI209" s="22"/>
      <c r="AJ209" s="22"/>
      <c r="AK209" s="22"/>
      <c r="AL209" s="22"/>
      <c r="AM209" s="22"/>
      <c r="AN209" s="22"/>
      <c r="AO209" s="22"/>
      <c r="AP209" s="21"/>
      <c r="AQ209" s="21"/>
      <c r="AR209" s="20"/>
      <c r="AS209" s="20"/>
      <c r="AT209" s="18"/>
      <c r="AU209" s="17"/>
      <c r="AV209" s="17"/>
      <c r="AW209" s="17"/>
      <c r="AX209" s="17"/>
      <c r="AY209" s="17"/>
      <c r="AZ209" s="17"/>
      <c r="BA209" s="17"/>
      <c r="BB209" s="17"/>
      <c r="BC209" s="17"/>
      <c r="BD209" s="17"/>
      <c r="BE209" s="17"/>
      <c r="BF209" s="17"/>
      <c r="BG209" s="16"/>
      <c r="BI209" s="49"/>
    </row>
    <row r="210" spans="1:61" s="48" customFormat="1">
      <c r="A210" s="21"/>
      <c r="B210" s="21"/>
      <c r="C210" s="32"/>
      <c r="D210" s="21"/>
      <c r="E210" s="31"/>
      <c r="F210" s="30"/>
      <c r="G210" s="30"/>
      <c r="H210" s="29"/>
      <c r="I210" s="29"/>
      <c r="J210" s="29"/>
      <c r="K210" s="17"/>
      <c r="L210" s="47"/>
      <c r="M210" s="26"/>
      <c r="N210" s="25"/>
      <c r="O210" s="23"/>
      <c r="P210" s="23"/>
      <c r="Q210" s="23"/>
      <c r="R210" s="23"/>
      <c r="S210" s="23"/>
      <c r="T210" s="23"/>
      <c r="U210" s="23"/>
      <c r="V210" s="23"/>
      <c r="W210" s="23"/>
      <c r="X210" s="21"/>
      <c r="Y210" s="21"/>
      <c r="Z210" s="23"/>
      <c r="AA210" s="22"/>
      <c r="AB210" s="22"/>
      <c r="AC210" s="22"/>
      <c r="AD210" s="22"/>
      <c r="AE210" s="22"/>
      <c r="AF210" s="22"/>
      <c r="AG210" s="22"/>
      <c r="AH210" s="22"/>
      <c r="AI210" s="22"/>
      <c r="AJ210" s="22"/>
      <c r="AK210" s="22"/>
      <c r="AL210" s="22"/>
      <c r="AM210" s="22"/>
      <c r="AN210" s="22"/>
      <c r="AO210" s="22"/>
      <c r="AP210" s="21"/>
      <c r="AQ210" s="21"/>
      <c r="AR210" s="20"/>
      <c r="AS210" s="20"/>
      <c r="AT210" s="18"/>
      <c r="AU210" s="17"/>
      <c r="AV210" s="17"/>
      <c r="AW210" s="17"/>
      <c r="AX210" s="17"/>
      <c r="AY210" s="17"/>
      <c r="AZ210" s="17"/>
      <c r="BA210" s="17"/>
      <c r="BB210" s="17"/>
      <c r="BC210" s="17"/>
      <c r="BD210" s="17"/>
      <c r="BE210" s="17"/>
      <c r="BF210" s="17"/>
      <c r="BG210" s="16"/>
      <c r="BI210" s="49"/>
    </row>
    <row r="211" spans="1:61" s="48" customFormat="1">
      <c r="A211" s="21"/>
      <c r="B211" s="21"/>
      <c r="C211" s="32"/>
      <c r="D211" s="21"/>
      <c r="E211" s="31"/>
      <c r="F211" s="30"/>
      <c r="G211" s="30"/>
      <c r="H211" s="29"/>
      <c r="I211" s="29"/>
      <c r="J211" s="29"/>
      <c r="K211" s="17"/>
      <c r="L211" s="47"/>
      <c r="M211" s="26"/>
      <c r="N211" s="25"/>
      <c r="O211" s="23"/>
      <c r="P211" s="23"/>
      <c r="Q211" s="23"/>
      <c r="R211" s="23"/>
      <c r="S211" s="23"/>
      <c r="T211" s="23"/>
      <c r="U211" s="23"/>
      <c r="V211" s="23"/>
      <c r="W211" s="23"/>
      <c r="X211" s="21"/>
      <c r="Y211" s="21"/>
      <c r="Z211" s="23"/>
      <c r="AA211" s="22"/>
      <c r="AB211" s="22"/>
      <c r="AC211" s="22"/>
      <c r="AD211" s="22"/>
      <c r="AE211" s="22"/>
      <c r="AF211" s="22"/>
      <c r="AG211" s="22"/>
      <c r="AH211" s="22"/>
      <c r="AI211" s="22"/>
      <c r="AJ211" s="22"/>
      <c r="AK211" s="22"/>
      <c r="AL211" s="22"/>
      <c r="AM211" s="22"/>
      <c r="AN211" s="22"/>
      <c r="AO211" s="22"/>
      <c r="AP211" s="21"/>
      <c r="AQ211" s="21"/>
      <c r="AR211" s="20"/>
      <c r="AS211" s="20"/>
      <c r="AT211" s="18"/>
      <c r="AU211" s="17"/>
      <c r="AV211" s="17"/>
      <c r="AW211" s="17"/>
      <c r="AX211" s="17"/>
      <c r="AY211" s="17"/>
      <c r="AZ211" s="17"/>
      <c r="BA211" s="17"/>
      <c r="BB211" s="17"/>
      <c r="BC211" s="17"/>
      <c r="BD211" s="17"/>
      <c r="BE211" s="17"/>
      <c r="BF211" s="17"/>
      <c r="BG211" s="16"/>
      <c r="BI211" s="49"/>
    </row>
    <row r="212" spans="1:61" s="48" customFormat="1">
      <c r="A212" s="21"/>
      <c r="B212" s="21"/>
      <c r="C212" s="32"/>
      <c r="D212" s="21"/>
      <c r="E212" s="31"/>
      <c r="F212" s="30"/>
      <c r="G212" s="30"/>
      <c r="H212" s="29"/>
      <c r="I212" s="29"/>
      <c r="J212" s="29"/>
      <c r="K212" s="17"/>
      <c r="L212" s="47"/>
      <c r="M212" s="26"/>
      <c r="N212" s="25"/>
      <c r="O212" s="23"/>
      <c r="P212" s="23"/>
      <c r="Q212" s="23"/>
      <c r="R212" s="23"/>
      <c r="S212" s="23"/>
      <c r="T212" s="23"/>
      <c r="U212" s="23"/>
      <c r="V212" s="23"/>
      <c r="W212" s="23"/>
      <c r="X212" s="21"/>
      <c r="Y212" s="21"/>
      <c r="Z212" s="23"/>
      <c r="AA212" s="22"/>
      <c r="AB212" s="22"/>
      <c r="AC212" s="22"/>
      <c r="AD212" s="22"/>
      <c r="AE212" s="22"/>
      <c r="AF212" s="22"/>
      <c r="AG212" s="22"/>
      <c r="AH212" s="22"/>
      <c r="AI212" s="22"/>
      <c r="AJ212" s="22"/>
      <c r="AK212" s="22"/>
      <c r="AL212" s="22"/>
      <c r="AM212" s="22"/>
      <c r="AN212" s="22"/>
      <c r="AO212" s="22"/>
      <c r="AP212" s="21"/>
      <c r="AQ212" s="21"/>
      <c r="AR212" s="20"/>
      <c r="AS212" s="20"/>
      <c r="AT212" s="18"/>
      <c r="AU212" s="17"/>
      <c r="AV212" s="17"/>
      <c r="AW212" s="17"/>
      <c r="AX212" s="17"/>
      <c r="AY212" s="17"/>
      <c r="AZ212" s="17"/>
      <c r="BA212" s="17"/>
      <c r="BB212" s="17"/>
      <c r="BC212" s="17"/>
      <c r="BD212" s="17"/>
      <c r="BE212" s="17"/>
      <c r="BF212" s="17"/>
      <c r="BG212" s="16"/>
      <c r="BI212" s="49"/>
    </row>
    <row r="213" spans="1:61" s="48" customFormat="1">
      <c r="A213" s="21"/>
      <c r="B213" s="21"/>
      <c r="C213" s="32"/>
      <c r="D213" s="21"/>
      <c r="E213" s="31"/>
      <c r="F213" s="30"/>
      <c r="G213" s="30"/>
      <c r="H213" s="29"/>
      <c r="I213" s="29"/>
      <c r="J213" s="29"/>
      <c r="K213" s="17"/>
      <c r="L213" s="47"/>
      <c r="M213" s="26"/>
      <c r="N213" s="25"/>
      <c r="O213" s="23"/>
      <c r="P213" s="23"/>
      <c r="Q213" s="23"/>
      <c r="R213" s="23"/>
      <c r="S213" s="23"/>
      <c r="T213" s="23"/>
      <c r="U213" s="23"/>
      <c r="V213" s="23"/>
      <c r="W213" s="23"/>
      <c r="X213" s="21"/>
      <c r="Y213" s="21"/>
      <c r="Z213" s="23"/>
      <c r="AA213" s="22"/>
      <c r="AB213" s="22"/>
      <c r="AC213" s="22"/>
      <c r="AD213" s="22"/>
      <c r="AE213" s="22"/>
      <c r="AF213" s="22"/>
      <c r="AG213" s="22"/>
      <c r="AH213" s="22"/>
      <c r="AI213" s="22"/>
      <c r="AJ213" s="22"/>
      <c r="AK213" s="22"/>
      <c r="AL213" s="22"/>
      <c r="AM213" s="22"/>
      <c r="AN213" s="22"/>
      <c r="AO213" s="22"/>
      <c r="AP213" s="21"/>
      <c r="AQ213" s="21"/>
      <c r="AR213" s="20"/>
      <c r="AS213" s="20"/>
      <c r="AT213" s="18"/>
      <c r="AU213" s="17"/>
      <c r="AV213" s="17"/>
      <c r="AW213" s="17"/>
      <c r="AX213" s="17"/>
      <c r="AY213" s="17"/>
      <c r="AZ213" s="17"/>
      <c r="BA213" s="17"/>
      <c r="BB213" s="17"/>
      <c r="BC213" s="17"/>
      <c r="BD213" s="17"/>
      <c r="BE213" s="17"/>
      <c r="BF213" s="17"/>
      <c r="BG213" s="16"/>
      <c r="BI213" s="49"/>
    </row>
    <row r="214" spans="1:61" s="48" customFormat="1">
      <c r="A214" s="21"/>
      <c r="B214" s="21"/>
      <c r="C214" s="32"/>
      <c r="D214" s="21"/>
      <c r="E214" s="31"/>
      <c r="F214" s="30"/>
      <c r="G214" s="30"/>
      <c r="H214" s="29"/>
      <c r="I214" s="29"/>
      <c r="J214" s="29"/>
      <c r="K214" s="17"/>
      <c r="L214" s="47"/>
      <c r="M214" s="26"/>
      <c r="N214" s="25"/>
      <c r="O214" s="23"/>
      <c r="P214" s="23"/>
      <c r="Q214" s="23"/>
      <c r="R214" s="23"/>
      <c r="S214" s="23"/>
      <c r="T214" s="23"/>
      <c r="U214" s="23"/>
      <c r="V214" s="23"/>
      <c r="W214" s="23"/>
      <c r="X214" s="21"/>
      <c r="Y214" s="21"/>
      <c r="Z214" s="23"/>
      <c r="AA214" s="22"/>
      <c r="AB214" s="22"/>
      <c r="AC214" s="22"/>
      <c r="AD214" s="22"/>
      <c r="AE214" s="22"/>
      <c r="AF214" s="22"/>
      <c r="AG214" s="22"/>
      <c r="AH214" s="22"/>
      <c r="AI214" s="22"/>
      <c r="AJ214" s="22"/>
      <c r="AK214" s="22"/>
      <c r="AL214" s="22"/>
      <c r="AM214" s="22"/>
      <c r="AN214" s="22"/>
      <c r="AO214" s="22"/>
      <c r="AP214" s="21"/>
      <c r="AQ214" s="21"/>
      <c r="AR214" s="20"/>
      <c r="AS214" s="20"/>
      <c r="AT214" s="18"/>
      <c r="AU214" s="17"/>
      <c r="AV214" s="17"/>
      <c r="AW214" s="17"/>
      <c r="AX214" s="17"/>
      <c r="AY214" s="17"/>
      <c r="AZ214" s="17"/>
      <c r="BA214" s="17"/>
      <c r="BB214" s="17"/>
      <c r="BC214" s="17"/>
      <c r="BD214" s="17"/>
      <c r="BE214" s="17"/>
      <c r="BF214" s="17"/>
      <c r="BG214" s="16"/>
      <c r="BI214" s="49"/>
    </row>
    <row r="215" spans="1:61" s="48" customFormat="1">
      <c r="A215" s="21"/>
      <c r="B215" s="21"/>
      <c r="C215" s="32"/>
      <c r="D215" s="21"/>
      <c r="E215" s="31"/>
      <c r="F215" s="30"/>
      <c r="G215" s="30"/>
      <c r="H215" s="29"/>
      <c r="I215" s="29"/>
      <c r="J215" s="29"/>
      <c r="K215" s="17"/>
      <c r="L215" s="47"/>
      <c r="M215" s="26"/>
      <c r="N215" s="25"/>
      <c r="O215" s="23"/>
      <c r="P215" s="23"/>
      <c r="Q215" s="23"/>
      <c r="R215" s="23"/>
      <c r="S215" s="23"/>
      <c r="T215" s="23"/>
      <c r="U215" s="23"/>
      <c r="V215" s="23"/>
      <c r="W215" s="23"/>
      <c r="X215" s="21"/>
      <c r="Y215" s="21"/>
      <c r="Z215" s="23"/>
      <c r="AA215" s="22"/>
      <c r="AB215" s="22"/>
      <c r="AC215" s="22"/>
      <c r="AD215" s="22"/>
      <c r="AE215" s="22"/>
      <c r="AF215" s="22"/>
      <c r="AG215" s="22"/>
      <c r="AH215" s="22"/>
      <c r="AI215" s="22"/>
      <c r="AJ215" s="22"/>
      <c r="AK215" s="22"/>
      <c r="AL215" s="22"/>
      <c r="AM215" s="22"/>
      <c r="AN215" s="22"/>
      <c r="AO215" s="22"/>
      <c r="AP215" s="21"/>
      <c r="AQ215" s="21"/>
      <c r="AR215" s="20"/>
      <c r="AS215" s="20"/>
      <c r="AT215" s="18"/>
      <c r="AU215" s="17"/>
      <c r="AV215" s="17"/>
      <c r="AW215" s="17"/>
      <c r="AX215" s="17"/>
      <c r="AY215" s="17"/>
      <c r="AZ215" s="17"/>
      <c r="BA215" s="17"/>
      <c r="BB215" s="17"/>
      <c r="BC215" s="17"/>
      <c r="BD215" s="17"/>
      <c r="BE215" s="17"/>
      <c r="BF215" s="17"/>
      <c r="BG215" s="16"/>
      <c r="BI215" s="49"/>
    </row>
    <row r="216" spans="1:61" s="48" customFormat="1">
      <c r="A216" s="21"/>
      <c r="B216" s="21"/>
      <c r="C216" s="32"/>
      <c r="D216" s="21"/>
      <c r="E216" s="31"/>
      <c r="F216" s="30"/>
      <c r="G216" s="30"/>
      <c r="H216" s="29"/>
      <c r="I216" s="29"/>
      <c r="J216" s="29"/>
      <c r="K216" s="17"/>
      <c r="L216" s="47"/>
      <c r="M216" s="26"/>
      <c r="N216" s="25"/>
      <c r="O216" s="23"/>
      <c r="P216" s="23"/>
      <c r="Q216" s="23"/>
      <c r="R216" s="23"/>
      <c r="S216" s="23"/>
      <c r="T216" s="23"/>
      <c r="U216" s="23"/>
      <c r="V216" s="23"/>
      <c r="W216" s="23"/>
      <c r="X216" s="21"/>
      <c r="Y216" s="21"/>
      <c r="Z216" s="23"/>
      <c r="AA216" s="22"/>
      <c r="AB216" s="22"/>
      <c r="AC216" s="22"/>
      <c r="AD216" s="22"/>
      <c r="AE216" s="22"/>
      <c r="AF216" s="22"/>
      <c r="AG216" s="22"/>
      <c r="AH216" s="22"/>
      <c r="AI216" s="22"/>
      <c r="AJ216" s="22"/>
      <c r="AK216" s="22"/>
      <c r="AL216" s="22"/>
      <c r="AM216" s="22"/>
      <c r="AN216" s="22"/>
      <c r="AO216" s="22"/>
      <c r="AP216" s="21"/>
      <c r="AQ216" s="21"/>
      <c r="AR216" s="20"/>
      <c r="AS216" s="20"/>
      <c r="AT216" s="18"/>
      <c r="AU216" s="17"/>
      <c r="AV216" s="17"/>
      <c r="AW216" s="17"/>
      <c r="AX216" s="17"/>
      <c r="AY216" s="17"/>
      <c r="AZ216" s="17"/>
      <c r="BA216" s="17"/>
      <c r="BB216" s="17"/>
      <c r="BC216" s="17"/>
      <c r="BD216" s="17"/>
      <c r="BE216" s="17"/>
      <c r="BF216" s="17"/>
      <c r="BG216" s="16"/>
      <c r="BI216" s="49"/>
    </row>
    <row r="217" spans="1:61" s="48" customFormat="1">
      <c r="A217" s="21"/>
      <c r="B217" s="21"/>
      <c r="C217" s="32"/>
      <c r="D217" s="21"/>
      <c r="E217" s="31"/>
      <c r="F217" s="30"/>
      <c r="G217" s="30"/>
      <c r="H217" s="29"/>
      <c r="I217" s="29"/>
      <c r="J217" s="29"/>
      <c r="K217" s="17"/>
      <c r="L217" s="47"/>
      <c r="M217" s="26"/>
      <c r="N217" s="25"/>
      <c r="O217" s="23"/>
      <c r="P217" s="23"/>
      <c r="Q217" s="23"/>
      <c r="R217" s="23"/>
      <c r="S217" s="23"/>
      <c r="T217" s="23"/>
      <c r="U217" s="23"/>
      <c r="V217" s="23"/>
      <c r="W217" s="23"/>
      <c r="X217" s="21"/>
      <c r="Y217" s="21"/>
      <c r="Z217" s="23"/>
      <c r="AA217" s="22"/>
      <c r="AB217" s="22"/>
      <c r="AC217" s="22"/>
      <c r="AD217" s="22"/>
      <c r="AE217" s="22"/>
      <c r="AF217" s="22"/>
      <c r="AG217" s="22"/>
      <c r="AH217" s="22"/>
      <c r="AI217" s="22"/>
      <c r="AJ217" s="22"/>
      <c r="AK217" s="22"/>
      <c r="AL217" s="22"/>
      <c r="AM217" s="22"/>
      <c r="AN217" s="22"/>
      <c r="AO217" s="22"/>
      <c r="AP217" s="21"/>
      <c r="AQ217" s="21"/>
      <c r="AR217" s="20"/>
      <c r="AS217" s="20"/>
      <c r="AT217" s="18"/>
      <c r="AU217" s="17"/>
      <c r="AV217" s="17"/>
      <c r="AW217" s="17"/>
      <c r="AX217" s="17"/>
      <c r="AY217" s="17"/>
      <c r="AZ217" s="17"/>
      <c r="BA217" s="17"/>
      <c r="BB217" s="17"/>
      <c r="BC217" s="17"/>
      <c r="BD217" s="17"/>
      <c r="BE217" s="17"/>
      <c r="BF217" s="17"/>
      <c r="BG217" s="16"/>
      <c r="BI217" s="49"/>
    </row>
    <row r="218" spans="1:61" s="48" customFormat="1">
      <c r="A218" s="21"/>
      <c r="B218" s="21"/>
      <c r="C218" s="32"/>
      <c r="D218" s="21"/>
      <c r="E218" s="31"/>
      <c r="F218" s="30"/>
      <c r="G218" s="30"/>
      <c r="H218" s="29"/>
      <c r="I218" s="29"/>
      <c r="J218" s="29"/>
      <c r="K218" s="17"/>
      <c r="L218" s="47"/>
      <c r="M218" s="26"/>
      <c r="N218" s="25"/>
      <c r="O218" s="23"/>
      <c r="P218" s="23"/>
      <c r="Q218" s="23"/>
      <c r="R218" s="23"/>
      <c r="S218" s="23"/>
      <c r="T218" s="23"/>
      <c r="U218" s="23"/>
      <c r="V218" s="23"/>
      <c r="W218" s="23"/>
      <c r="X218" s="21"/>
      <c r="Y218" s="21"/>
      <c r="Z218" s="23"/>
      <c r="AA218" s="22"/>
      <c r="AB218" s="22"/>
      <c r="AC218" s="22"/>
      <c r="AD218" s="22"/>
      <c r="AE218" s="22"/>
      <c r="AF218" s="22"/>
      <c r="AG218" s="22"/>
      <c r="AH218" s="22"/>
      <c r="AI218" s="22"/>
      <c r="AJ218" s="22"/>
      <c r="AK218" s="22"/>
      <c r="AL218" s="22"/>
      <c r="AM218" s="22"/>
      <c r="AN218" s="22"/>
      <c r="AO218" s="22"/>
      <c r="AP218" s="21"/>
      <c r="AQ218" s="21"/>
      <c r="AR218" s="20"/>
      <c r="AS218" s="20"/>
      <c r="AT218" s="18"/>
      <c r="AU218" s="17"/>
      <c r="AV218" s="17"/>
      <c r="AW218" s="17"/>
      <c r="AX218" s="17"/>
      <c r="AY218" s="17"/>
      <c r="AZ218" s="17"/>
      <c r="BA218" s="17"/>
      <c r="BB218" s="17"/>
      <c r="BC218" s="17"/>
      <c r="BD218" s="17"/>
      <c r="BE218" s="17"/>
      <c r="BF218" s="17"/>
      <c r="BG218" s="16"/>
      <c r="BI218" s="49"/>
    </row>
    <row r="219" spans="1:61" s="48" customFormat="1">
      <c r="A219" s="21"/>
      <c r="B219" s="21"/>
      <c r="C219" s="32"/>
      <c r="D219" s="21"/>
      <c r="E219" s="31"/>
      <c r="F219" s="30"/>
      <c r="G219" s="30"/>
      <c r="H219" s="29"/>
      <c r="I219" s="29"/>
      <c r="J219" s="29"/>
      <c r="K219" s="17"/>
      <c r="L219" s="47"/>
      <c r="M219" s="26"/>
      <c r="N219" s="25"/>
      <c r="O219" s="23"/>
      <c r="P219" s="23"/>
      <c r="Q219" s="23"/>
      <c r="R219" s="23"/>
      <c r="S219" s="23"/>
      <c r="T219" s="23"/>
      <c r="U219" s="23"/>
      <c r="V219" s="23"/>
      <c r="W219" s="23"/>
      <c r="X219" s="21"/>
      <c r="Y219" s="21"/>
      <c r="Z219" s="23"/>
      <c r="AA219" s="22"/>
      <c r="AB219" s="22"/>
      <c r="AC219" s="22"/>
      <c r="AD219" s="22"/>
      <c r="AE219" s="22"/>
      <c r="AF219" s="22"/>
      <c r="AG219" s="22"/>
      <c r="AH219" s="22"/>
      <c r="AI219" s="22"/>
      <c r="AJ219" s="22"/>
      <c r="AK219" s="22"/>
      <c r="AL219" s="22"/>
      <c r="AM219" s="22"/>
      <c r="AN219" s="22"/>
      <c r="AO219" s="22"/>
      <c r="AP219" s="21"/>
      <c r="AQ219" s="21"/>
      <c r="AR219" s="20"/>
      <c r="AS219" s="20"/>
      <c r="AT219" s="18"/>
      <c r="AU219" s="17"/>
      <c r="AV219" s="17"/>
      <c r="AW219" s="17"/>
      <c r="AX219" s="17"/>
      <c r="AY219" s="17"/>
      <c r="AZ219" s="17"/>
      <c r="BA219" s="17"/>
      <c r="BB219" s="17"/>
      <c r="BC219" s="17"/>
      <c r="BD219" s="17"/>
      <c r="BE219" s="17"/>
      <c r="BF219" s="17"/>
      <c r="BG219" s="16"/>
      <c r="BI219" s="49"/>
    </row>
    <row r="220" spans="1:61" s="48" customFormat="1">
      <c r="A220" s="21"/>
      <c r="B220" s="21"/>
      <c r="C220" s="32"/>
      <c r="D220" s="21"/>
      <c r="E220" s="31"/>
      <c r="F220" s="30"/>
      <c r="G220" s="30"/>
      <c r="H220" s="29"/>
      <c r="I220" s="29"/>
      <c r="J220" s="29"/>
      <c r="K220" s="17"/>
      <c r="L220" s="47"/>
      <c r="M220" s="26"/>
      <c r="N220" s="25"/>
      <c r="O220" s="23"/>
      <c r="P220" s="23"/>
      <c r="Q220" s="23"/>
      <c r="R220" s="23"/>
      <c r="S220" s="23"/>
      <c r="T220" s="23"/>
      <c r="U220" s="23"/>
      <c r="V220" s="23"/>
      <c r="W220" s="23"/>
      <c r="X220" s="21"/>
      <c r="Y220" s="21"/>
      <c r="Z220" s="23"/>
      <c r="AA220" s="22"/>
      <c r="AB220" s="22"/>
      <c r="AC220" s="22"/>
      <c r="AD220" s="22"/>
      <c r="AE220" s="22"/>
      <c r="AF220" s="22"/>
      <c r="AG220" s="22"/>
      <c r="AH220" s="22"/>
      <c r="AI220" s="22"/>
      <c r="AJ220" s="22"/>
      <c r="AK220" s="22"/>
      <c r="AL220" s="22"/>
      <c r="AM220" s="22"/>
      <c r="AN220" s="22"/>
      <c r="AO220" s="22"/>
      <c r="AP220" s="21"/>
      <c r="AQ220" s="21"/>
      <c r="AR220" s="20"/>
      <c r="AS220" s="20"/>
      <c r="AT220" s="18"/>
      <c r="AU220" s="17"/>
      <c r="AV220" s="17"/>
      <c r="AW220" s="17"/>
      <c r="AX220" s="17"/>
      <c r="AY220" s="17"/>
      <c r="AZ220" s="17"/>
      <c r="BA220" s="17"/>
      <c r="BB220" s="17"/>
      <c r="BC220" s="17"/>
      <c r="BD220" s="17"/>
      <c r="BE220" s="17"/>
      <c r="BF220" s="17"/>
      <c r="BG220" s="16"/>
      <c r="BI220" s="49"/>
    </row>
    <row r="221" spans="1:61" s="48" customFormat="1">
      <c r="A221" s="21"/>
      <c r="B221" s="21"/>
      <c r="C221" s="32"/>
      <c r="D221" s="21"/>
      <c r="E221" s="31"/>
      <c r="F221" s="30"/>
      <c r="G221" s="30"/>
      <c r="H221" s="29"/>
      <c r="I221" s="29"/>
      <c r="J221" s="29"/>
      <c r="K221" s="17"/>
      <c r="L221" s="47"/>
      <c r="M221" s="26"/>
      <c r="N221" s="25"/>
      <c r="O221" s="23"/>
      <c r="P221" s="23"/>
      <c r="Q221" s="23"/>
      <c r="R221" s="23"/>
      <c r="S221" s="23"/>
      <c r="T221" s="23"/>
      <c r="U221" s="23"/>
      <c r="V221" s="23"/>
      <c r="W221" s="23"/>
      <c r="X221" s="21"/>
      <c r="Y221" s="21"/>
      <c r="Z221" s="23"/>
      <c r="AA221" s="22"/>
      <c r="AB221" s="22"/>
      <c r="AC221" s="22"/>
      <c r="AD221" s="22"/>
      <c r="AE221" s="22"/>
      <c r="AF221" s="22"/>
      <c r="AG221" s="22"/>
      <c r="AH221" s="22"/>
      <c r="AI221" s="22"/>
      <c r="AJ221" s="22"/>
      <c r="AK221" s="22"/>
      <c r="AL221" s="22"/>
      <c r="AM221" s="22"/>
      <c r="AN221" s="22"/>
      <c r="AO221" s="22"/>
      <c r="AP221" s="21"/>
      <c r="AQ221" s="21"/>
      <c r="AR221" s="20"/>
      <c r="AS221" s="20"/>
      <c r="AT221" s="18"/>
      <c r="AU221" s="17"/>
      <c r="AV221" s="17"/>
      <c r="AW221" s="17"/>
      <c r="AX221" s="17"/>
      <c r="AY221" s="17"/>
      <c r="AZ221" s="17"/>
      <c r="BA221" s="17"/>
      <c r="BB221" s="17"/>
      <c r="BC221" s="17"/>
      <c r="BD221" s="17"/>
      <c r="BE221" s="17"/>
      <c r="BF221" s="17"/>
      <c r="BG221" s="16"/>
    </row>
    <row r="222" spans="1:61" s="48" customFormat="1">
      <c r="A222" s="21"/>
      <c r="B222" s="21"/>
      <c r="C222" s="32"/>
      <c r="D222" s="21"/>
      <c r="E222" s="31"/>
      <c r="F222" s="30"/>
      <c r="G222" s="30"/>
      <c r="H222" s="29"/>
      <c r="I222" s="29"/>
      <c r="J222" s="29"/>
      <c r="K222" s="17"/>
      <c r="L222" s="47"/>
      <c r="M222" s="26"/>
      <c r="N222" s="25"/>
      <c r="O222" s="23"/>
      <c r="P222" s="23"/>
      <c r="Q222" s="23"/>
      <c r="R222" s="23"/>
      <c r="S222" s="23"/>
      <c r="T222" s="23"/>
      <c r="U222" s="23"/>
      <c r="V222" s="23"/>
      <c r="W222" s="23"/>
      <c r="X222" s="21"/>
      <c r="Y222" s="21"/>
      <c r="Z222" s="23"/>
      <c r="AA222" s="22"/>
      <c r="AB222" s="22"/>
      <c r="AC222" s="22"/>
      <c r="AD222" s="22"/>
      <c r="AE222" s="22"/>
      <c r="AF222" s="22"/>
      <c r="AG222" s="22"/>
      <c r="AH222" s="22"/>
      <c r="AI222" s="22"/>
      <c r="AJ222" s="22"/>
      <c r="AK222" s="22"/>
      <c r="AL222" s="22"/>
      <c r="AM222" s="22"/>
      <c r="AN222" s="22"/>
      <c r="AO222" s="22"/>
      <c r="AP222" s="21"/>
      <c r="AQ222" s="21"/>
      <c r="AR222" s="20"/>
      <c r="AS222" s="20"/>
      <c r="AT222" s="18"/>
      <c r="AU222" s="17"/>
      <c r="AV222" s="17"/>
      <c r="AW222" s="17"/>
      <c r="AX222" s="17"/>
      <c r="AY222" s="17"/>
      <c r="AZ222" s="17"/>
      <c r="BA222" s="17"/>
      <c r="BB222" s="17"/>
      <c r="BC222" s="17"/>
      <c r="BD222" s="17"/>
      <c r="BE222" s="17"/>
      <c r="BF222" s="17"/>
      <c r="BG222" s="16"/>
    </row>
    <row r="223" spans="1:61" s="48" customFormat="1">
      <c r="A223" s="21"/>
      <c r="B223" s="21"/>
      <c r="C223" s="32"/>
      <c r="D223" s="21"/>
      <c r="E223" s="31"/>
      <c r="F223" s="30"/>
      <c r="G223" s="30"/>
      <c r="H223" s="29"/>
      <c r="I223" s="29"/>
      <c r="J223" s="29"/>
      <c r="K223" s="17"/>
      <c r="L223" s="47"/>
      <c r="M223" s="26"/>
      <c r="N223" s="25"/>
      <c r="O223" s="23"/>
      <c r="P223" s="23"/>
      <c r="Q223" s="23"/>
      <c r="R223" s="23"/>
      <c r="S223" s="23"/>
      <c r="T223" s="23"/>
      <c r="U223" s="23"/>
      <c r="V223" s="23"/>
      <c r="W223" s="23"/>
      <c r="X223" s="21"/>
      <c r="Y223" s="21"/>
      <c r="Z223" s="23"/>
      <c r="AA223" s="22"/>
      <c r="AB223" s="22"/>
      <c r="AC223" s="22"/>
      <c r="AD223" s="22"/>
      <c r="AE223" s="22"/>
      <c r="AF223" s="22"/>
      <c r="AG223" s="22"/>
      <c r="AH223" s="22"/>
      <c r="AI223" s="22"/>
      <c r="AJ223" s="22"/>
      <c r="AK223" s="22"/>
      <c r="AL223" s="22"/>
      <c r="AM223" s="22"/>
      <c r="AN223" s="22"/>
      <c r="AO223" s="22"/>
      <c r="AP223" s="21"/>
      <c r="AQ223" s="21"/>
      <c r="AR223" s="20"/>
      <c r="AS223" s="20"/>
      <c r="AT223" s="18"/>
      <c r="AU223" s="17"/>
      <c r="AV223" s="17"/>
      <c r="AW223" s="17"/>
      <c r="AX223" s="17"/>
      <c r="AY223" s="17"/>
      <c r="AZ223" s="17"/>
      <c r="BA223" s="17"/>
      <c r="BB223" s="17"/>
      <c r="BC223" s="17"/>
      <c r="BD223" s="17"/>
      <c r="BE223" s="17"/>
      <c r="BF223" s="17"/>
      <c r="BG223" s="16"/>
    </row>
    <row r="224" spans="1:61" s="48" customFormat="1">
      <c r="A224" s="21"/>
      <c r="B224" s="21"/>
      <c r="C224" s="32"/>
      <c r="D224" s="21"/>
      <c r="E224" s="31"/>
      <c r="F224" s="30"/>
      <c r="G224" s="30"/>
      <c r="H224" s="29"/>
      <c r="I224" s="29"/>
      <c r="J224" s="29"/>
      <c r="K224" s="17"/>
      <c r="L224" s="47"/>
      <c r="M224" s="26"/>
      <c r="N224" s="25"/>
      <c r="O224" s="23"/>
      <c r="P224" s="23"/>
      <c r="Q224" s="23"/>
      <c r="R224" s="23"/>
      <c r="S224" s="23"/>
      <c r="T224" s="23"/>
      <c r="U224" s="23"/>
      <c r="V224" s="23"/>
      <c r="W224" s="23"/>
      <c r="X224" s="21"/>
      <c r="Y224" s="21"/>
      <c r="Z224" s="23"/>
      <c r="AA224" s="22"/>
      <c r="AB224" s="22"/>
      <c r="AC224" s="22"/>
      <c r="AD224" s="22"/>
      <c r="AE224" s="22"/>
      <c r="AF224" s="22"/>
      <c r="AG224" s="22"/>
      <c r="AH224" s="22"/>
      <c r="AI224" s="22"/>
      <c r="AJ224" s="22"/>
      <c r="AK224" s="22"/>
      <c r="AL224" s="22"/>
      <c r="AM224" s="22"/>
      <c r="AN224" s="22"/>
      <c r="AO224" s="22"/>
      <c r="AP224" s="21"/>
      <c r="AQ224" s="21"/>
      <c r="AR224" s="20"/>
      <c r="AS224" s="20"/>
      <c r="AT224" s="18"/>
      <c r="AU224" s="17"/>
      <c r="AV224" s="17"/>
      <c r="AW224" s="17"/>
      <c r="AX224" s="17"/>
      <c r="AY224" s="17"/>
      <c r="AZ224" s="17"/>
      <c r="BA224" s="17"/>
      <c r="BB224" s="17"/>
      <c r="BC224" s="17"/>
      <c r="BD224" s="17"/>
      <c r="BE224" s="17"/>
      <c r="BF224" s="17"/>
      <c r="BG224" s="16"/>
    </row>
    <row r="225" spans="1:59">
      <c r="A225" s="37"/>
      <c r="B225" s="37"/>
      <c r="C225" s="46"/>
      <c r="D225" s="37"/>
      <c r="E225" s="45"/>
      <c r="F225" s="44"/>
      <c r="G225" s="44"/>
      <c r="H225" s="43"/>
      <c r="I225" s="43"/>
      <c r="J225" s="43"/>
      <c r="K225" s="28"/>
      <c r="L225" s="27"/>
      <c r="M225" s="42"/>
      <c r="N225" s="41"/>
      <c r="O225" s="39"/>
      <c r="P225" s="39"/>
      <c r="Q225" s="39"/>
      <c r="R225" s="39"/>
      <c r="S225" s="39"/>
      <c r="T225" s="39"/>
      <c r="U225" s="39"/>
      <c r="V225" s="39"/>
      <c r="W225" s="39"/>
      <c r="X225" s="37"/>
      <c r="Y225" s="37"/>
      <c r="Z225" s="39"/>
      <c r="AA225" s="38"/>
      <c r="AB225" s="38"/>
      <c r="AC225" s="38"/>
      <c r="AD225" s="38"/>
      <c r="AE225" s="38"/>
      <c r="AF225" s="38"/>
      <c r="AG225" s="38"/>
      <c r="AH225" s="38"/>
      <c r="AI225" s="38"/>
      <c r="AJ225" s="38"/>
      <c r="AK225" s="38"/>
      <c r="AL225" s="38"/>
      <c r="AM225" s="38"/>
      <c r="AN225" s="38"/>
      <c r="AO225" s="38"/>
      <c r="AP225" s="37"/>
      <c r="AQ225" s="37"/>
      <c r="AR225" s="36"/>
      <c r="AS225" s="36"/>
      <c r="AT225" s="34"/>
      <c r="AU225" s="28"/>
      <c r="AV225" s="28"/>
      <c r="AW225" s="28"/>
      <c r="AX225" s="28"/>
      <c r="AY225" s="28"/>
      <c r="AZ225" s="28"/>
      <c r="BA225" s="28"/>
      <c r="BB225" s="28"/>
      <c r="BC225" s="28"/>
      <c r="BD225" s="28"/>
      <c r="BE225" s="28"/>
      <c r="BF225" s="28"/>
      <c r="BG225" s="33"/>
    </row>
    <row r="226" spans="1:59">
      <c r="A226" s="21"/>
      <c r="B226" s="21"/>
      <c r="C226" s="32"/>
      <c r="D226" s="21"/>
      <c r="E226" s="31"/>
      <c r="F226" s="30"/>
      <c r="G226" s="30"/>
      <c r="H226" s="29"/>
      <c r="I226" s="29"/>
      <c r="J226" s="29"/>
      <c r="K226" s="17"/>
      <c r="L226" s="47"/>
      <c r="M226" s="26"/>
      <c r="N226" s="25"/>
      <c r="O226" s="23"/>
      <c r="P226" s="23"/>
      <c r="Q226" s="23"/>
      <c r="R226" s="23"/>
      <c r="S226" s="23"/>
      <c r="T226" s="23"/>
      <c r="U226" s="23"/>
      <c r="V226" s="23"/>
      <c r="W226" s="23"/>
      <c r="X226" s="21"/>
      <c r="Y226" s="21"/>
      <c r="Z226" s="23"/>
      <c r="AA226" s="22"/>
      <c r="AB226" s="22"/>
      <c r="AC226" s="22"/>
      <c r="AD226" s="22"/>
      <c r="AE226" s="22"/>
      <c r="AF226" s="22"/>
      <c r="AG226" s="22"/>
      <c r="AH226" s="22"/>
      <c r="AI226" s="22"/>
      <c r="AJ226" s="22"/>
      <c r="AK226" s="22"/>
      <c r="AL226" s="22"/>
      <c r="AM226" s="22"/>
      <c r="AN226" s="22"/>
      <c r="AO226" s="22"/>
      <c r="AP226" s="21"/>
      <c r="AQ226" s="21"/>
      <c r="AR226" s="20"/>
      <c r="AS226" s="20"/>
      <c r="AT226" s="18"/>
      <c r="AU226" s="17"/>
      <c r="AV226" s="17"/>
      <c r="AW226" s="17"/>
      <c r="AX226" s="17"/>
      <c r="AY226" s="17"/>
      <c r="AZ226" s="17"/>
      <c r="BA226" s="17"/>
      <c r="BB226" s="17"/>
      <c r="BC226" s="17"/>
      <c r="BD226" s="17"/>
      <c r="BE226" s="17"/>
      <c r="BF226" s="17"/>
      <c r="BG226" s="16"/>
    </row>
    <row r="227" spans="1:59">
      <c r="A227" s="21"/>
      <c r="B227" s="21"/>
      <c r="C227" s="32"/>
      <c r="D227" s="21"/>
      <c r="E227" s="31"/>
      <c r="F227" s="30"/>
      <c r="G227" s="30"/>
      <c r="H227" s="29"/>
      <c r="I227" s="29"/>
      <c r="J227" s="29"/>
      <c r="K227" s="17"/>
      <c r="L227" s="47"/>
      <c r="M227" s="26"/>
      <c r="N227" s="25"/>
      <c r="O227" s="23"/>
      <c r="P227" s="23"/>
      <c r="Q227" s="23"/>
      <c r="R227" s="23"/>
      <c r="S227" s="23"/>
      <c r="T227" s="23"/>
      <c r="U227" s="23"/>
      <c r="V227" s="23"/>
      <c r="W227" s="23"/>
      <c r="X227" s="21"/>
      <c r="Y227" s="21"/>
      <c r="Z227" s="23"/>
      <c r="AA227" s="22"/>
      <c r="AB227" s="22"/>
      <c r="AC227" s="22"/>
      <c r="AD227" s="22"/>
      <c r="AE227" s="22"/>
      <c r="AF227" s="22"/>
      <c r="AG227" s="22"/>
      <c r="AH227" s="22"/>
      <c r="AI227" s="22"/>
      <c r="AJ227" s="22"/>
      <c r="AK227" s="22"/>
      <c r="AL227" s="22"/>
      <c r="AM227" s="22"/>
      <c r="AN227" s="22"/>
      <c r="AO227" s="22"/>
      <c r="AP227" s="21"/>
      <c r="AQ227" s="21"/>
      <c r="AR227" s="20"/>
      <c r="AS227" s="20"/>
      <c r="AT227" s="18"/>
      <c r="AU227" s="17"/>
      <c r="AV227" s="17"/>
      <c r="AW227" s="17"/>
      <c r="AX227" s="17"/>
      <c r="AY227" s="17"/>
      <c r="AZ227" s="17"/>
      <c r="BA227" s="17"/>
      <c r="BB227" s="17"/>
      <c r="BC227" s="17"/>
      <c r="BD227" s="17"/>
      <c r="BE227" s="17"/>
      <c r="BF227" s="17"/>
      <c r="BG227" s="16"/>
    </row>
    <row r="228" spans="1:59">
      <c r="A228" s="21"/>
      <c r="B228" s="21"/>
      <c r="C228" s="32"/>
      <c r="D228" s="21"/>
      <c r="E228" s="31"/>
      <c r="F228" s="30"/>
      <c r="G228" s="30"/>
      <c r="H228" s="29"/>
      <c r="I228" s="29"/>
      <c r="J228" s="29"/>
      <c r="K228" s="17"/>
      <c r="L228" s="47"/>
      <c r="M228" s="26"/>
      <c r="N228" s="25"/>
      <c r="O228" s="23"/>
      <c r="P228" s="23"/>
      <c r="Q228" s="23"/>
      <c r="R228" s="23"/>
      <c r="S228" s="23"/>
      <c r="T228" s="23"/>
      <c r="U228" s="23"/>
      <c r="V228" s="23"/>
      <c r="W228" s="23"/>
      <c r="X228" s="21"/>
      <c r="Y228" s="21"/>
      <c r="Z228" s="23"/>
      <c r="AA228" s="22"/>
      <c r="AB228" s="22"/>
      <c r="AC228" s="22"/>
      <c r="AD228" s="22"/>
      <c r="AE228" s="22"/>
      <c r="AF228" s="22"/>
      <c r="AG228" s="22"/>
      <c r="AH228" s="22"/>
      <c r="AI228" s="22"/>
      <c r="AJ228" s="22"/>
      <c r="AK228" s="22"/>
      <c r="AL228" s="22"/>
      <c r="AM228" s="22"/>
      <c r="AN228" s="22"/>
      <c r="AO228" s="22"/>
      <c r="AP228" s="21"/>
      <c r="AQ228" s="21"/>
      <c r="AR228" s="20"/>
      <c r="AS228" s="20"/>
      <c r="AT228" s="18"/>
      <c r="AU228" s="17"/>
      <c r="AV228" s="17"/>
      <c r="AW228" s="17"/>
      <c r="AX228" s="17"/>
      <c r="AY228" s="17"/>
      <c r="AZ228" s="17"/>
      <c r="BA228" s="17"/>
      <c r="BB228" s="17"/>
      <c r="BC228" s="17"/>
      <c r="BD228" s="17"/>
      <c r="BE228" s="17"/>
      <c r="BF228" s="17"/>
      <c r="BG228" s="16"/>
    </row>
    <row r="229" spans="1:59">
      <c r="A229" s="21"/>
      <c r="B229" s="21"/>
      <c r="C229" s="32"/>
      <c r="D229" s="21"/>
      <c r="E229" s="31"/>
      <c r="F229" s="30"/>
      <c r="G229" s="30"/>
      <c r="H229" s="29"/>
      <c r="I229" s="29"/>
      <c r="J229" s="29"/>
      <c r="K229" s="17"/>
      <c r="L229" s="47"/>
      <c r="M229" s="26"/>
      <c r="N229" s="25"/>
      <c r="O229" s="23"/>
      <c r="P229" s="23"/>
      <c r="Q229" s="23"/>
      <c r="R229" s="23"/>
      <c r="S229" s="23"/>
      <c r="T229" s="23"/>
      <c r="U229" s="23"/>
      <c r="V229" s="23"/>
      <c r="W229" s="23"/>
      <c r="X229" s="21"/>
      <c r="Y229" s="21"/>
      <c r="Z229" s="23"/>
      <c r="AA229" s="22"/>
      <c r="AB229" s="22"/>
      <c r="AC229" s="22"/>
      <c r="AD229" s="22"/>
      <c r="AE229" s="22"/>
      <c r="AF229" s="22"/>
      <c r="AG229" s="22"/>
      <c r="AH229" s="22"/>
      <c r="AI229" s="22"/>
      <c r="AJ229" s="22"/>
      <c r="AK229" s="22"/>
      <c r="AL229" s="22"/>
      <c r="AM229" s="22"/>
      <c r="AN229" s="22"/>
      <c r="AO229" s="22"/>
      <c r="AP229" s="21"/>
      <c r="AQ229" s="21"/>
      <c r="AR229" s="20"/>
      <c r="AS229" s="20"/>
      <c r="AT229" s="18"/>
      <c r="AU229" s="17"/>
      <c r="AV229" s="17"/>
      <c r="AW229" s="17"/>
      <c r="AX229" s="17"/>
      <c r="AY229" s="17"/>
      <c r="AZ229" s="17"/>
      <c r="BA229" s="17"/>
      <c r="BB229" s="17"/>
      <c r="BC229" s="17"/>
      <c r="BD229" s="17"/>
      <c r="BE229" s="17"/>
      <c r="BF229" s="17"/>
      <c r="BG229" s="16"/>
    </row>
    <row r="230" spans="1:59">
      <c r="A230" s="21"/>
      <c r="B230" s="21"/>
      <c r="C230" s="32"/>
      <c r="D230" s="21"/>
      <c r="E230" s="31"/>
      <c r="F230" s="30"/>
      <c r="G230" s="30"/>
      <c r="H230" s="29"/>
      <c r="I230" s="29"/>
      <c r="J230" s="29"/>
      <c r="K230" s="17"/>
      <c r="L230" s="47"/>
      <c r="M230" s="26"/>
      <c r="N230" s="25"/>
      <c r="O230" s="23"/>
      <c r="P230" s="23"/>
      <c r="Q230" s="23"/>
      <c r="R230" s="23"/>
      <c r="S230" s="23"/>
      <c r="T230" s="23"/>
      <c r="U230" s="23"/>
      <c r="V230" s="23"/>
      <c r="W230" s="23"/>
      <c r="X230" s="21"/>
      <c r="Y230" s="21"/>
      <c r="Z230" s="23"/>
      <c r="AA230" s="22"/>
      <c r="AB230" s="22"/>
      <c r="AC230" s="22"/>
      <c r="AD230" s="22"/>
      <c r="AE230" s="22"/>
      <c r="AF230" s="22"/>
      <c r="AG230" s="22"/>
      <c r="AH230" s="22"/>
      <c r="AI230" s="22"/>
      <c r="AJ230" s="22"/>
      <c r="AK230" s="22"/>
      <c r="AL230" s="22"/>
      <c r="AM230" s="22"/>
      <c r="AN230" s="22"/>
      <c r="AO230" s="22"/>
      <c r="AP230" s="21"/>
      <c r="AQ230" s="21"/>
      <c r="AR230" s="20"/>
      <c r="AS230" s="20"/>
      <c r="AT230" s="18"/>
      <c r="AU230" s="17"/>
      <c r="AV230" s="17"/>
      <c r="AW230" s="17"/>
      <c r="AX230" s="17"/>
      <c r="AY230" s="17"/>
      <c r="AZ230" s="17"/>
      <c r="BA230" s="17"/>
      <c r="BB230" s="17"/>
      <c r="BC230" s="17"/>
      <c r="BD230" s="17"/>
      <c r="BE230" s="17"/>
      <c r="BF230" s="17"/>
      <c r="BG230" s="16"/>
    </row>
    <row r="231" spans="1:59">
      <c r="A231" s="21"/>
      <c r="B231" s="21"/>
      <c r="C231" s="32"/>
      <c r="D231" s="21"/>
      <c r="E231" s="31"/>
      <c r="F231" s="30"/>
      <c r="G231" s="30"/>
      <c r="H231" s="29"/>
      <c r="I231" s="29"/>
      <c r="J231" s="29"/>
      <c r="K231" s="17"/>
      <c r="L231" s="47"/>
      <c r="M231" s="26"/>
      <c r="N231" s="25"/>
      <c r="O231" s="23"/>
      <c r="P231" s="23"/>
      <c r="Q231" s="23"/>
      <c r="R231" s="23"/>
      <c r="S231" s="23"/>
      <c r="T231" s="23"/>
      <c r="U231" s="23"/>
      <c r="V231" s="23"/>
      <c r="W231" s="23"/>
      <c r="X231" s="21"/>
      <c r="Y231" s="21"/>
      <c r="Z231" s="23"/>
      <c r="AA231" s="22"/>
      <c r="AB231" s="22"/>
      <c r="AC231" s="22"/>
      <c r="AD231" s="22"/>
      <c r="AE231" s="22"/>
      <c r="AF231" s="22"/>
      <c r="AG231" s="22"/>
      <c r="AH231" s="22"/>
      <c r="AI231" s="22"/>
      <c r="AJ231" s="22"/>
      <c r="AK231" s="22"/>
      <c r="AL231" s="22"/>
      <c r="AM231" s="22"/>
      <c r="AN231" s="22"/>
      <c r="AO231" s="22"/>
      <c r="AP231" s="21"/>
      <c r="AQ231" s="21"/>
      <c r="AR231" s="20"/>
      <c r="AS231" s="20"/>
      <c r="AT231" s="18"/>
      <c r="AU231" s="17"/>
      <c r="AV231" s="17"/>
      <c r="AW231" s="17"/>
      <c r="AX231" s="17"/>
      <c r="AY231" s="17"/>
      <c r="AZ231" s="17"/>
      <c r="BA231" s="17"/>
      <c r="BB231" s="17"/>
      <c r="BC231" s="17"/>
      <c r="BD231" s="17"/>
      <c r="BE231" s="17"/>
      <c r="BF231" s="17"/>
      <c r="BG231" s="16"/>
    </row>
    <row r="232" spans="1:59">
      <c r="A232" s="21"/>
      <c r="B232" s="21"/>
      <c r="C232" s="32"/>
      <c r="D232" s="21"/>
      <c r="E232" s="31"/>
      <c r="F232" s="30"/>
      <c r="G232" s="30"/>
      <c r="H232" s="29"/>
      <c r="I232" s="29"/>
      <c r="J232" s="29"/>
      <c r="K232" s="17"/>
      <c r="L232" s="47"/>
      <c r="M232" s="26"/>
      <c r="N232" s="25"/>
      <c r="O232" s="23"/>
      <c r="P232" s="23"/>
      <c r="Q232" s="23"/>
      <c r="R232" s="23"/>
      <c r="S232" s="23"/>
      <c r="T232" s="23"/>
      <c r="U232" s="23"/>
      <c r="V232" s="23"/>
      <c r="W232" s="23"/>
      <c r="X232" s="21"/>
      <c r="Y232" s="21"/>
      <c r="Z232" s="23"/>
      <c r="AA232" s="22"/>
      <c r="AB232" s="22"/>
      <c r="AC232" s="22"/>
      <c r="AD232" s="22"/>
      <c r="AE232" s="22"/>
      <c r="AF232" s="22"/>
      <c r="AG232" s="22"/>
      <c r="AH232" s="22"/>
      <c r="AI232" s="22"/>
      <c r="AJ232" s="22"/>
      <c r="AK232" s="22"/>
      <c r="AL232" s="22"/>
      <c r="AM232" s="22"/>
      <c r="AN232" s="22"/>
      <c r="AO232" s="22"/>
      <c r="AP232" s="21"/>
      <c r="AQ232" s="21"/>
      <c r="AR232" s="20"/>
      <c r="AS232" s="20"/>
      <c r="AT232" s="18"/>
      <c r="AU232" s="17"/>
      <c r="AV232" s="17"/>
      <c r="AW232" s="17"/>
      <c r="AX232" s="17"/>
      <c r="AY232" s="17"/>
      <c r="AZ232" s="17"/>
      <c r="BA232" s="17"/>
      <c r="BB232" s="17"/>
      <c r="BC232" s="17"/>
      <c r="BD232" s="17"/>
      <c r="BE232" s="17"/>
      <c r="BF232" s="17"/>
      <c r="BG232" s="16"/>
    </row>
    <row r="233" spans="1:59">
      <c r="A233" s="21"/>
      <c r="B233" s="21"/>
      <c r="C233" s="32"/>
      <c r="D233" s="21"/>
      <c r="E233" s="31"/>
      <c r="F233" s="30"/>
      <c r="G233" s="30"/>
      <c r="H233" s="29"/>
      <c r="I233" s="29"/>
      <c r="J233" s="29"/>
      <c r="K233" s="17"/>
      <c r="L233" s="47"/>
      <c r="M233" s="26"/>
      <c r="N233" s="25"/>
      <c r="O233" s="23"/>
      <c r="P233" s="23"/>
      <c r="Q233" s="23"/>
      <c r="R233" s="23"/>
      <c r="S233" s="23"/>
      <c r="T233" s="23"/>
      <c r="U233" s="23"/>
      <c r="V233" s="23"/>
      <c r="W233" s="23"/>
      <c r="X233" s="21"/>
      <c r="Y233" s="21"/>
      <c r="Z233" s="23"/>
      <c r="AA233" s="22"/>
      <c r="AB233" s="22"/>
      <c r="AC233" s="22"/>
      <c r="AD233" s="22"/>
      <c r="AE233" s="22"/>
      <c r="AF233" s="22"/>
      <c r="AG233" s="22"/>
      <c r="AH233" s="22"/>
      <c r="AI233" s="22"/>
      <c r="AJ233" s="22"/>
      <c r="AK233" s="22"/>
      <c r="AL233" s="22"/>
      <c r="AM233" s="22"/>
      <c r="AN233" s="22"/>
      <c r="AO233" s="22"/>
      <c r="AP233" s="21"/>
      <c r="AQ233" s="21"/>
      <c r="AR233" s="20"/>
      <c r="AS233" s="20"/>
      <c r="AT233" s="18"/>
      <c r="AU233" s="17"/>
      <c r="AV233" s="17"/>
      <c r="AW233" s="17"/>
      <c r="AX233" s="17"/>
      <c r="AY233" s="17"/>
      <c r="AZ233" s="17"/>
      <c r="BA233" s="17"/>
      <c r="BB233" s="17"/>
      <c r="BC233" s="17"/>
      <c r="BD233" s="17"/>
      <c r="BE233" s="17"/>
      <c r="BF233" s="17"/>
      <c r="BG233" s="16"/>
    </row>
    <row r="234" spans="1:59">
      <c r="A234" s="21"/>
      <c r="B234" s="21"/>
      <c r="C234" s="32"/>
      <c r="D234" s="21"/>
      <c r="E234" s="31"/>
      <c r="F234" s="30"/>
      <c r="G234" s="30"/>
      <c r="H234" s="29"/>
      <c r="I234" s="29"/>
      <c r="J234" s="29"/>
      <c r="K234" s="17"/>
      <c r="L234" s="47"/>
      <c r="M234" s="26"/>
      <c r="N234" s="25"/>
      <c r="O234" s="23"/>
      <c r="P234" s="23"/>
      <c r="Q234" s="23"/>
      <c r="R234" s="23"/>
      <c r="S234" s="23"/>
      <c r="T234" s="23"/>
      <c r="U234" s="23"/>
      <c r="V234" s="23"/>
      <c r="W234" s="23"/>
      <c r="X234" s="21"/>
      <c r="Y234" s="21"/>
      <c r="Z234" s="23"/>
      <c r="AA234" s="22"/>
      <c r="AB234" s="22"/>
      <c r="AC234" s="22"/>
      <c r="AD234" s="22"/>
      <c r="AE234" s="22"/>
      <c r="AF234" s="22"/>
      <c r="AG234" s="22"/>
      <c r="AH234" s="22"/>
      <c r="AI234" s="22"/>
      <c r="AJ234" s="22"/>
      <c r="AK234" s="22"/>
      <c r="AL234" s="22"/>
      <c r="AM234" s="22"/>
      <c r="AN234" s="22"/>
      <c r="AO234" s="22"/>
      <c r="AP234" s="21"/>
      <c r="AQ234" s="21"/>
      <c r="AR234" s="20"/>
      <c r="AS234" s="20"/>
      <c r="AT234" s="18"/>
      <c r="AU234" s="17"/>
      <c r="AV234" s="17"/>
      <c r="AW234" s="17"/>
      <c r="AX234" s="17"/>
      <c r="AY234" s="17"/>
      <c r="AZ234" s="17"/>
      <c r="BA234" s="17"/>
      <c r="BB234" s="17"/>
      <c r="BC234" s="17"/>
      <c r="BD234" s="17"/>
      <c r="BE234" s="17"/>
      <c r="BF234" s="17"/>
      <c r="BG234" s="16"/>
    </row>
    <row r="235" spans="1:59">
      <c r="A235" s="21"/>
      <c r="B235" s="21"/>
      <c r="C235" s="32"/>
      <c r="D235" s="21"/>
      <c r="E235" s="31"/>
      <c r="F235" s="30"/>
      <c r="G235" s="30"/>
      <c r="H235" s="29"/>
      <c r="I235" s="29"/>
      <c r="J235" s="29"/>
      <c r="K235" s="17"/>
      <c r="L235" s="47"/>
      <c r="M235" s="26"/>
      <c r="N235" s="25"/>
      <c r="O235" s="23"/>
      <c r="P235" s="23"/>
      <c r="Q235" s="23"/>
      <c r="R235" s="23"/>
      <c r="S235" s="23"/>
      <c r="T235" s="23"/>
      <c r="U235" s="23"/>
      <c r="V235" s="23"/>
      <c r="W235" s="23"/>
      <c r="X235" s="21"/>
      <c r="Y235" s="21"/>
      <c r="Z235" s="23"/>
      <c r="AA235" s="22"/>
      <c r="AB235" s="22"/>
      <c r="AC235" s="22"/>
      <c r="AD235" s="22"/>
      <c r="AE235" s="22"/>
      <c r="AF235" s="22"/>
      <c r="AG235" s="22"/>
      <c r="AH235" s="22"/>
      <c r="AI235" s="22"/>
      <c r="AJ235" s="22"/>
      <c r="AK235" s="22"/>
      <c r="AL235" s="22"/>
      <c r="AM235" s="22"/>
      <c r="AN235" s="22"/>
      <c r="AO235" s="22"/>
      <c r="AP235" s="21"/>
      <c r="AQ235" s="21"/>
      <c r="AR235" s="20"/>
      <c r="AS235" s="20"/>
      <c r="AT235" s="18"/>
      <c r="AU235" s="17"/>
      <c r="AV235" s="17"/>
      <c r="AW235" s="17"/>
      <c r="AX235" s="17"/>
      <c r="AY235" s="17"/>
      <c r="AZ235" s="17"/>
      <c r="BA235" s="17"/>
      <c r="BB235" s="17"/>
      <c r="BC235" s="17"/>
      <c r="BD235" s="17"/>
      <c r="BE235" s="17"/>
      <c r="BF235" s="17"/>
      <c r="BG235" s="16"/>
    </row>
    <row r="236" spans="1:59">
      <c r="A236" s="21"/>
      <c r="B236" s="21"/>
      <c r="C236" s="32"/>
      <c r="D236" s="21"/>
      <c r="E236" s="31"/>
      <c r="F236" s="30"/>
      <c r="G236" s="30"/>
      <c r="H236" s="29"/>
      <c r="I236" s="29"/>
      <c r="J236" s="29"/>
      <c r="K236" s="17"/>
      <c r="L236" s="47"/>
      <c r="M236" s="26"/>
      <c r="N236" s="25"/>
      <c r="O236" s="23"/>
      <c r="P236" s="23"/>
      <c r="Q236" s="23"/>
      <c r="R236" s="23"/>
      <c r="S236" s="23"/>
      <c r="T236" s="23"/>
      <c r="U236" s="23"/>
      <c r="V236" s="23"/>
      <c r="W236" s="23"/>
      <c r="X236" s="21"/>
      <c r="Y236" s="21"/>
      <c r="Z236" s="23"/>
      <c r="AA236" s="22"/>
      <c r="AB236" s="22"/>
      <c r="AC236" s="22"/>
      <c r="AD236" s="22"/>
      <c r="AE236" s="22"/>
      <c r="AF236" s="22"/>
      <c r="AG236" s="22"/>
      <c r="AH236" s="22"/>
      <c r="AI236" s="22"/>
      <c r="AJ236" s="22"/>
      <c r="AK236" s="22"/>
      <c r="AL236" s="22"/>
      <c r="AM236" s="22"/>
      <c r="AN236" s="22"/>
      <c r="AO236" s="22"/>
      <c r="AP236" s="21"/>
      <c r="AQ236" s="21"/>
      <c r="AR236" s="20"/>
      <c r="AS236" s="20"/>
      <c r="AT236" s="18"/>
      <c r="AU236" s="17"/>
      <c r="AV236" s="17"/>
      <c r="AW236" s="17"/>
      <c r="AX236" s="17"/>
      <c r="AY236" s="17"/>
      <c r="AZ236" s="17"/>
      <c r="BA236" s="17"/>
      <c r="BB236" s="17"/>
      <c r="BC236" s="17"/>
      <c r="BD236" s="17"/>
      <c r="BE236" s="17"/>
      <c r="BF236" s="17"/>
      <c r="BG236" s="16"/>
    </row>
    <row r="237" spans="1:59">
      <c r="A237" s="21"/>
      <c r="B237" s="21"/>
      <c r="C237" s="32"/>
      <c r="D237" s="21"/>
      <c r="E237" s="31"/>
      <c r="F237" s="30"/>
      <c r="G237" s="30"/>
      <c r="H237" s="29"/>
      <c r="I237" s="29"/>
      <c r="J237" s="29"/>
      <c r="K237" s="17"/>
      <c r="L237" s="47"/>
      <c r="M237" s="26"/>
      <c r="N237" s="25"/>
      <c r="O237" s="23"/>
      <c r="P237" s="23"/>
      <c r="Q237" s="23"/>
      <c r="R237" s="23"/>
      <c r="S237" s="23"/>
      <c r="T237" s="23"/>
      <c r="U237" s="23"/>
      <c r="V237" s="23"/>
      <c r="W237" s="23"/>
      <c r="X237" s="21"/>
      <c r="Y237" s="21"/>
      <c r="Z237" s="23"/>
      <c r="AA237" s="22"/>
      <c r="AB237" s="22"/>
      <c r="AC237" s="22"/>
      <c r="AD237" s="22"/>
      <c r="AE237" s="22"/>
      <c r="AF237" s="22"/>
      <c r="AG237" s="22"/>
      <c r="AH237" s="22"/>
      <c r="AI237" s="22"/>
      <c r="AJ237" s="22"/>
      <c r="AK237" s="22"/>
      <c r="AL237" s="22"/>
      <c r="AM237" s="22"/>
      <c r="AN237" s="22"/>
      <c r="AO237" s="22"/>
      <c r="AP237" s="21"/>
      <c r="AQ237" s="21"/>
      <c r="AR237" s="20"/>
      <c r="AS237" s="20"/>
      <c r="AT237" s="18"/>
      <c r="AU237" s="17"/>
      <c r="AV237" s="17"/>
      <c r="AW237" s="17"/>
      <c r="AX237" s="17"/>
      <c r="AY237" s="17"/>
      <c r="AZ237" s="17"/>
      <c r="BA237" s="17"/>
      <c r="BB237" s="17"/>
      <c r="BC237" s="17"/>
      <c r="BD237" s="17"/>
      <c r="BE237" s="17"/>
      <c r="BF237" s="17"/>
      <c r="BG237" s="16"/>
    </row>
    <row r="238" spans="1:59">
      <c r="A238" s="21"/>
      <c r="B238" s="21"/>
      <c r="C238" s="32"/>
      <c r="D238" s="21"/>
      <c r="E238" s="31"/>
      <c r="F238" s="30"/>
      <c r="G238" s="30"/>
      <c r="H238" s="29"/>
      <c r="I238" s="29"/>
      <c r="J238" s="29"/>
      <c r="K238" s="17"/>
      <c r="L238" s="47"/>
      <c r="M238" s="26"/>
      <c r="N238" s="25"/>
      <c r="O238" s="23"/>
      <c r="P238" s="23"/>
      <c r="Q238" s="23"/>
      <c r="R238" s="23"/>
      <c r="S238" s="23"/>
      <c r="T238" s="23"/>
      <c r="U238" s="23"/>
      <c r="V238" s="23"/>
      <c r="W238" s="23"/>
      <c r="X238" s="21"/>
      <c r="Y238" s="21"/>
      <c r="Z238" s="23"/>
      <c r="AA238" s="22"/>
      <c r="AB238" s="22"/>
      <c r="AC238" s="22"/>
      <c r="AD238" s="22"/>
      <c r="AE238" s="22"/>
      <c r="AF238" s="22"/>
      <c r="AG238" s="22"/>
      <c r="AH238" s="22"/>
      <c r="AI238" s="22"/>
      <c r="AJ238" s="22"/>
      <c r="AK238" s="22"/>
      <c r="AL238" s="22"/>
      <c r="AM238" s="22"/>
      <c r="AN238" s="22"/>
      <c r="AO238" s="22"/>
      <c r="AP238" s="21"/>
      <c r="AQ238" s="21"/>
      <c r="AR238" s="20"/>
      <c r="AS238" s="20"/>
      <c r="AT238" s="18"/>
      <c r="AU238" s="17"/>
      <c r="AV238" s="17"/>
      <c r="AW238" s="17"/>
      <c r="AX238" s="17"/>
      <c r="AY238" s="17"/>
      <c r="AZ238" s="17"/>
      <c r="BA238" s="17"/>
      <c r="BB238" s="17"/>
      <c r="BC238" s="17"/>
      <c r="BD238" s="17"/>
      <c r="BE238" s="17"/>
      <c r="BF238" s="17"/>
      <c r="BG238" s="16"/>
    </row>
    <row r="239" spans="1:59">
      <c r="A239" s="21"/>
      <c r="B239" s="21"/>
      <c r="C239" s="32"/>
      <c r="D239" s="21"/>
      <c r="E239" s="31"/>
      <c r="F239" s="30"/>
      <c r="G239" s="30"/>
      <c r="H239" s="29"/>
      <c r="I239" s="29"/>
      <c r="J239" s="29"/>
      <c r="K239" s="17"/>
      <c r="L239" s="47"/>
      <c r="M239" s="26"/>
      <c r="N239" s="25"/>
      <c r="O239" s="23"/>
      <c r="P239" s="23"/>
      <c r="Q239" s="23"/>
      <c r="R239" s="23"/>
      <c r="S239" s="23"/>
      <c r="T239" s="23"/>
      <c r="U239" s="23"/>
      <c r="V239" s="23"/>
      <c r="W239" s="23"/>
      <c r="X239" s="21"/>
      <c r="Y239" s="21"/>
      <c r="Z239" s="23"/>
      <c r="AA239" s="22"/>
      <c r="AB239" s="22"/>
      <c r="AC239" s="22"/>
      <c r="AD239" s="22"/>
      <c r="AE239" s="22"/>
      <c r="AF239" s="22"/>
      <c r="AG239" s="22"/>
      <c r="AH239" s="22"/>
      <c r="AI239" s="22"/>
      <c r="AJ239" s="22"/>
      <c r="AK239" s="22"/>
      <c r="AL239" s="22"/>
      <c r="AM239" s="22"/>
      <c r="AN239" s="22"/>
      <c r="AO239" s="22"/>
      <c r="AP239" s="21"/>
      <c r="AQ239" s="21"/>
      <c r="AR239" s="20"/>
      <c r="AS239" s="20"/>
      <c r="AT239" s="18"/>
      <c r="AU239" s="17"/>
      <c r="AV239" s="17"/>
      <c r="AW239" s="17"/>
      <c r="AX239" s="17"/>
      <c r="AY239" s="17"/>
      <c r="AZ239" s="17"/>
      <c r="BA239" s="17"/>
      <c r="BB239" s="17"/>
      <c r="BC239" s="17"/>
      <c r="BD239" s="17"/>
      <c r="BE239" s="17"/>
      <c r="BF239" s="17"/>
      <c r="BG239" s="16"/>
    </row>
    <row r="240" spans="1:59">
      <c r="A240" s="21"/>
      <c r="B240" s="21"/>
      <c r="C240" s="32"/>
      <c r="D240" s="21"/>
      <c r="E240" s="31"/>
      <c r="F240" s="30"/>
      <c r="G240" s="30"/>
      <c r="H240" s="29"/>
      <c r="I240" s="29"/>
      <c r="J240" s="29"/>
      <c r="K240" s="17"/>
      <c r="L240" s="47"/>
      <c r="M240" s="26"/>
      <c r="N240" s="25"/>
      <c r="O240" s="23"/>
      <c r="P240" s="23"/>
      <c r="Q240" s="23"/>
      <c r="R240" s="23"/>
      <c r="S240" s="23"/>
      <c r="T240" s="23"/>
      <c r="U240" s="23"/>
      <c r="V240" s="23"/>
      <c r="W240" s="23"/>
      <c r="X240" s="21"/>
      <c r="Y240" s="21"/>
      <c r="Z240" s="23"/>
      <c r="AA240" s="22"/>
      <c r="AB240" s="22"/>
      <c r="AC240" s="22"/>
      <c r="AD240" s="22"/>
      <c r="AE240" s="22"/>
      <c r="AF240" s="22"/>
      <c r="AG240" s="22"/>
      <c r="AH240" s="22"/>
      <c r="AI240" s="22"/>
      <c r="AJ240" s="22"/>
      <c r="AK240" s="22"/>
      <c r="AL240" s="22"/>
      <c r="AM240" s="22"/>
      <c r="AN240" s="22"/>
      <c r="AO240" s="22"/>
      <c r="AP240" s="21"/>
      <c r="AQ240" s="21"/>
      <c r="AR240" s="20"/>
      <c r="AS240" s="20"/>
      <c r="AT240" s="18"/>
      <c r="AU240" s="17"/>
      <c r="AV240" s="17"/>
      <c r="AW240" s="17"/>
      <c r="AX240" s="17"/>
      <c r="AY240" s="17"/>
      <c r="AZ240" s="17"/>
      <c r="BA240" s="17"/>
      <c r="BB240" s="17"/>
      <c r="BC240" s="17"/>
      <c r="BD240" s="17"/>
      <c r="BE240" s="17"/>
      <c r="BF240" s="17"/>
      <c r="BG240" s="16"/>
    </row>
    <row r="241" spans="1:59">
      <c r="A241" s="21"/>
      <c r="B241" s="21"/>
      <c r="C241" s="32"/>
      <c r="D241" s="21"/>
      <c r="E241" s="31"/>
      <c r="F241" s="30"/>
      <c r="G241" s="30"/>
      <c r="H241" s="29"/>
      <c r="I241" s="29"/>
      <c r="J241" s="29"/>
      <c r="K241" s="17"/>
      <c r="L241" s="47"/>
      <c r="M241" s="26"/>
      <c r="N241" s="25"/>
      <c r="O241" s="23"/>
      <c r="P241" s="23"/>
      <c r="Q241" s="23"/>
      <c r="R241" s="23"/>
      <c r="S241" s="23"/>
      <c r="T241" s="23"/>
      <c r="U241" s="23"/>
      <c r="V241" s="23"/>
      <c r="W241" s="23"/>
      <c r="X241" s="21"/>
      <c r="Y241" s="21"/>
      <c r="Z241" s="23"/>
      <c r="AA241" s="22"/>
      <c r="AB241" s="22"/>
      <c r="AC241" s="22"/>
      <c r="AD241" s="22"/>
      <c r="AE241" s="22"/>
      <c r="AF241" s="22"/>
      <c r="AG241" s="22"/>
      <c r="AH241" s="22"/>
      <c r="AI241" s="22"/>
      <c r="AJ241" s="22"/>
      <c r="AK241" s="22"/>
      <c r="AL241" s="22"/>
      <c r="AM241" s="22"/>
      <c r="AN241" s="22"/>
      <c r="AO241" s="22"/>
      <c r="AP241" s="21"/>
      <c r="AQ241" s="21"/>
      <c r="AR241" s="20"/>
      <c r="AS241" s="20"/>
      <c r="AT241" s="18"/>
      <c r="AU241" s="17"/>
      <c r="AV241" s="17"/>
      <c r="AW241" s="17"/>
      <c r="AX241" s="17"/>
      <c r="AY241" s="17"/>
      <c r="AZ241" s="17"/>
      <c r="BA241" s="17"/>
      <c r="BB241" s="17"/>
      <c r="BC241" s="17"/>
      <c r="BD241" s="17"/>
      <c r="BE241" s="17"/>
      <c r="BF241" s="17"/>
      <c r="BG241" s="16"/>
    </row>
    <row r="242" spans="1:59">
      <c r="A242" s="21"/>
      <c r="B242" s="21"/>
      <c r="C242" s="32"/>
      <c r="D242" s="21"/>
      <c r="E242" s="31"/>
      <c r="F242" s="30"/>
      <c r="G242" s="30"/>
      <c r="H242" s="29"/>
      <c r="I242" s="29"/>
      <c r="J242" s="29"/>
      <c r="K242" s="17"/>
      <c r="L242" s="47"/>
      <c r="M242" s="26"/>
      <c r="N242" s="25"/>
      <c r="O242" s="23"/>
      <c r="P242" s="23"/>
      <c r="Q242" s="23"/>
      <c r="R242" s="23"/>
      <c r="S242" s="23"/>
      <c r="T242" s="23"/>
      <c r="U242" s="23"/>
      <c r="V242" s="23"/>
      <c r="W242" s="23"/>
      <c r="X242" s="21"/>
      <c r="Y242" s="21"/>
      <c r="Z242" s="23"/>
      <c r="AA242" s="22"/>
      <c r="AB242" s="22"/>
      <c r="AC242" s="22"/>
      <c r="AD242" s="22"/>
      <c r="AE242" s="22"/>
      <c r="AF242" s="22"/>
      <c r="AG242" s="22"/>
      <c r="AH242" s="22"/>
      <c r="AI242" s="22"/>
      <c r="AJ242" s="22"/>
      <c r="AK242" s="22"/>
      <c r="AL242" s="22"/>
      <c r="AM242" s="22"/>
      <c r="AN242" s="22"/>
      <c r="AO242" s="22"/>
      <c r="AP242" s="21"/>
      <c r="AQ242" s="21"/>
      <c r="AR242" s="20"/>
      <c r="AS242" s="20"/>
      <c r="AT242" s="18"/>
      <c r="AU242" s="17"/>
      <c r="AV242" s="17"/>
      <c r="AW242" s="17"/>
      <c r="AX242" s="17"/>
      <c r="AY242" s="17"/>
      <c r="AZ242" s="17"/>
      <c r="BA242" s="17"/>
      <c r="BB242" s="17"/>
      <c r="BC242" s="17"/>
      <c r="BD242" s="17"/>
      <c r="BE242" s="17"/>
      <c r="BF242" s="17"/>
      <c r="BG242" s="16"/>
    </row>
    <row r="243" spans="1:59">
      <c r="A243" s="21"/>
      <c r="B243" s="21"/>
      <c r="C243" s="32"/>
      <c r="D243" s="21"/>
      <c r="E243" s="31"/>
      <c r="F243" s="30"/>
      <c r="G243" s="30"/>
      <c r="H243" s="29"/>
      <c r="I243" s="29"/>
      <c r="J243" s="29"/>
      <c r="K243" s="17"/>
      <c r="L243" s="47"/>
      <c r="M243" s="26"/>
      <c r="N243" s="25"/>
      <c r="O243" s="23"/>
      <c r="P243" s="23"/>
      <c r="Q243" s="23"/>
      <c r="R243" s="23"/>
      <c r="S243" s="23"/>
      <c r="T243" s="23"/>
      <c r="U243" s="23"/>
      <c r="V243" s="23"/>
      <c r="W243" s="23"/>
      <c r="X243" s="21"/>
      <c r="Y243" s="21"/>
      <c r="Z243" s="23"/>
      <c r="AA243" s="22"/>
      <c r="AB243" s="22"/>
      <c r="AC243" s="22"/>
      <c r="AD243" s="22"/>
      <c r="AE243" s="22"/>
      <c r="AF243" s="22"/>
      <c r="AG243" s="22"/>
      <c r="AH243" s="22"/>
      <c r="AI243" s="22"/>
      <c r="AJ243" s="22"/>
      <c r="AK243" s="22"/>
      <c r="AL243" s="22"/>
      <c r="AM243" s="22"/>
      <c r="AN243" s="22"/>
      <c r="AO243" s="22"/>
      <c r="AP243" s="21"/>
      <c r="AQ243" s="21"/>
      <c r="AR243" s="20"/>
      <c r="AS243" s="20"/>
      <c r="AT243" s="18"/>
      <c r="AU243" s="17"/>
      <c r="AV243" s="17"/>
      <c r="AW243" s="17"/>
      <c r="AX243" s="17"/>
      <c r="AY243" s="17"/>
      <c r="AZ243" s="17"/>
      <c r="BA243" s="17"/>
      <c r="BB243" s="17"/>
      <c r="BC243" s="17"/>
      <c r="BD243" s="17"/>
      <c r="BE243" s="17"/>
      <c r="BF243" s="17"/>
      <c r="BG243" s="16"/>
    </row>
    <row r="244" spans="1:59">
      <c r="A244" s="21"/>
      <c r="B244" s="21"/>
      <c r="C244" s="32"/>
      <c r="D244" s="21"/>
      <c r="E244" s="31"/>
      <c r="F244" s="30"/>
      <c r="G244" s="30"/>
      <c r="H244" s="29"/>
      <c r="I244" s="29"/>
      <c r="J244" s="29"/>
      <c r="K244" s="17"/>
      <c r="L244" s="47"/>
      <c r="M244" s="26"/>
      <c r="N244" s="25"/>
      <c r="O244" s="23"/>
      <c r="P244" s="23"/>
      <c r="Q244" s="23"/>
      <c r="R244" s="23"/>
      <c r="S244" s="23"/>
      <c r="T244" s="23"/>
      <c r="U244" s="23"/>
      <c r="V244" s="23"/>
      <c r="W244" s="23"/>
      <c r="X244" s="21"/>
      <c r="Y244" s="21"/>
      <c r="Z244" s="23"/>
      <c r="AA244" s="22"/>
      <c r="AB244" s="22"/>
      <c r="AC244" s="22"/>
      <c r="AD244" s="22"/>
      <c r="AE244" s="22"/>
      <c r="AF244" s="22"/>
      <c r="AG244" s="22"/>
      <c r="AH244" s="22"/>
      <c r="AI244" s="22"/>
      <c r="AJ244" s="22"/>
      <c r="AK244" s="22"/>
      <c r="AL244" s="22"/>
      <c r="AM244" s="22"/>
      <c r="AN244" s="22"/>
      <c r="AO244" s="22"/>
      <c r="AP244" s="21"/>
      <c r="AQ244" s="21"/>
      <c r="AR244" s="20"/>
      <c r="AS244" s="20"/>
      <c r="AT244" s="18"/>
      <c r="AU244" s="17"/>
      <c r="AV244" s="17"/>
      <c r="AW244" s="17"/>
      <c r="AX244" s="17"/>
      <c r="AY244" s="17"/>
      <c r="AZ244" s="17"/>
      <c r="BA244" s="17"/>
      <c r="BB244" s="17"/>
      <c r="BC244" s="17"/>
      <c r="BD244" s="17"/>
      <c r="BE244" s="17"/>
      <c r="BF244" s="17"/>
      <c r="BG244" s="16"/>
    </row>
    <row r="245" spans="1:59">
      <c r="A245" s="21"/>
      <c r="B245" s="21"/>
      <c r="C245" s="32"/>
      <c r="D245" s="21"/>
      <c r="E245" s="31"/>
      <c r="F245" s="30"/>
      <c r="G245" s="30"/>
      <c r="H245" s="29"/>
      <c r="I245" s="29"/>
      <c r="J245" s="29"/>
      <c r="K245" s="17"/>
      <c r="L245" s="47"/>
      <c r="M245" s="26"/>
      <c r="N245" s="25"/>
      <c r="O245" s="23"/>
      <c r="P245" s="23"/>
      <c r="Q245" s="23"/>
      <c r="R245" s="23"/>
      <c r="S245" s="23"/>
      <c r="T245" s="23"/>
      <c r="U245" s="23"/>
      <c r="V245" s="23"/>
      <c r="W245" s="23"/>
      <c r="X245" s="21"/>
      <c r="Y245" s="21"/>
      <c r="Z245" s="23"/>
      <c r="AA245" s="22"/>
      <c r="AB245" s="22"/>
      <c r="AC245" s="22"/>
      <c r="AD245" s="22"/>
      <c r="AE245" s="22"/>
      <c r="AF245" s="22"/>
      <c r="AG245" s="22"/>
      <c r="AH245" s="22"/>
      <c r="AI245" s="22"/>
      <c r="AJ245" s="22"/>
      <c r="AK245" s="22"/>
      <c r="AL245" s="22"/>
      <c r="AM245" s="22"/>
      <c r="AN245" s="22"/>
      <c r="AO245" s="22"/>
      <c r="AP245" s="21"/>
      <c r="AQ245" s="21"/>
      <c r="AR245" s="20"/>
      <c r="AS245" s="20"/>
      <c r="AT245" s="18"/>
      <c r="AU245" s="17"/>
      <c r="AV245" s="17"/>
      <c r="AW245" s="17"/>
      <c r="AX245" s="17"/>
      <c r="AY245" s="17"/>
      <c r="AZ245" s="17"/>
      <c r="BA245" s="17"/>
      <c r="BB245" s="17"/>
      <c r="BC245" s="17"/>
      <c r="BD245" s="17"/>
      <c r="BE245" s="17"/>
      <c r="BF245" s="17"/>
      <c r="BG245" s="16"/>
    </row>
    <row r="246" spans="1:59">
      <c r="A246" s="21"/>
      <c r="B246" s="21"/>
      <c r="C246" s="32"/>
      <c r="D246" s="21"/>
      <c r="E246" s="31"/>
      <c r="F246" s="30"/>
      <c r="G246" s="30"/>
      <c r="H246" s="29"/>
      <c r="I246" s="29"/>
      <c r="J246" s="29"/>
      <c r="K246" s="17"/>
      <c r="L246" s="47"/>
      <c r="M246" s="26"/>
      <c r="N246" s="25"/>
      <c r="O246" s="23"/>
      <c r="P246" s="23"/>
      <c r="Q246" s="23"/>
      <c r="R246" s="23"/>
      <c r="S246" s="23"/>
      <c r="T246" s="23"/>
      <c r="U246" s="23"/>
      <c r="V246" s="23"/>
      <c r="W246" s="23"/>
      <c r="X246" s="21"/>
      <c r="Y246" s="21"/>
      <c r="Z246" s="23"/>
      <c r="AA246" s="22"/>
      <c r="AB246" s="22"/>
      <c r="AC246" s="22"/>
      <c r="AD246" s="22"/>
      <c r="AE246" s="22"/>
      <c r="AF246" s="22"/>
      <c r="AG246" s="22"/>
      <c r="AH246" s="22"/>
      <c r="AI246" s="22"/>
      <c r="AJ246" s="22"/>
      <c r="AK246" s="22"/>
      <c r="AL246" s="22"/>
      <c r="AM246" s="22"/>
      <c r="AN246" s="22"/>
      <c r="AO246" s="22"/>
      <c r="AP246" s="21"/>
      <c r="AQ246" s="21"/>
      <c r="AR246" s="20"/>
      <c r="AS246" s="20"/>
      <c r="AT246" s="18"/>
      <c r="AU246" s="17"/>
      <c r="AV246" s="17"/>
      <c r="AW246" s="17"/>
      <c r="AX246" s="17"/>
      <c r="AY246" s="17"/>
      <c r="AZ246" s="17"/>
      <c r="BA246" s="17"/>
      <c r="BB246" s="17"/>
      <c r="BC246" s="17"/>
      <c r="BD246" s="17"/>
      <c r="BE246" s="17"/>
      <c r="BF246" s="17"/>
      <c r="BG246" s="16"/>
    </row>
    <row r="247" spans="1:59">
      <c r="A247" s="21"/>
      <c r="B247" s="21"/>
      <c r="C247" s="32"/>
      <c r="D247" s="21"/>
      <c r="E247" s="31"/>
      <c r="F247" s="30"/>
      <c r="G247" s="30"/>
      <c r="H247" s="29"/>
      <c r="I247" s="29"/>
      <c r="J247" s="29"/>
      <c r="K247" s="17"/>
      <c r="L247" s="47"/>
      <c r="M247" s="26"/>
      <c r="N247" s="25"/>
      <c r="O247" s="23"/>
      <c r="P247" s="23"/>
      <c r="Q247" s="23"/>
      <c r="R247" s="23"/>
      <c r="S247" s="23"/>
      <c r="T247" s="23"/>
      <c r="U247" s="23"/>
      <c r="V247" s="23"/>
      <c r="W247" s="23"/>
      <c r="X247" s="21"/>
      <c r="Y247" s="21"/>
      <c r="Z247" s="23"/>
      <c r="AA247" s="22"/>
      <c r="AB247" s="22"/>
      <c r="AC247" s="22"/>
      <c r="AD247" s="22"/>
      <c r="AE247" s="22"/>
      <c r="AF247" s="22"/>
      <c r="AG247" s="22"/>
      <c r="AH247" s="22"/>
      <c r="AI247" s="22"/>
      <c r="AJ247" s="22"/>
      <c r="AK247" s="22"/>
      <c r="AL247" s="22"/>
      <c r="AM247" s="22"/>
      <c r="AN247" s="22"/>
      <c r="AO247" s="22"/>
      <c r="AP247" s="21"/>
      <c r="AQ247" s="21"/>
      <c r="AR247" s="20"/>
      <c r="AS247" s="20"/>
      <c r="AT247" s="18"/>
      <c r="AU247" s="17"/>
      <c r="AV247" s="17"/>
      <c r="AW247" s="17"/>
      <c r="AX247" s="17"/>
      <c r="AY247" s="17"/>
      <c r="AZ247" s="17"/>
      <c r="BA247" s="17"/>
      <c r="BB247" s="17"/>
      <c r="BC247" s="17"/>
      <c r="BD247" s="17"/>
      <c r="BE247" s="17"/>
      <c r="BF247" s="17"/>
      <c r="BG247" s="16"/>
    </row>
    <row r="248" spans="1:59">
      <c r="A248" s="21"/>
      <c r="B248" s="21"/>
      <c r="C248" s="32"/>
      <c r="D248" s="21"/>
      <c r="E248" s="31"/>
      <c r="F248" s="30"/>
      <c r="G248" s="30"/>
      <c r="H248" s="29"/>
      <c r="I248" s="29"/>
      <c r="J248" s="29"/>
      <c r="K248" s="17"/>
      <c r="L248" s="47"/>
      <c r="M248" s="26"/>
      <c r="N248" s="25"/>
      <c r="O248" s="23"/>
      <c r="P248" s="23"/>
      <c r="Q248" s="23"/>
      <c r="R248" s="23"/>
      <c r="S248" s="23"/>
      <c r="T248" s="23"/>
      <c r="U248" s="23"/>
      <c r="V248" s="23"/>
      <c r="W248" s="23"/>
      <c r="X248" s="21"/>
      <c r="Y248" s="21"/>
      <c r="Z248" s="23"/>
      <c r="AA248" s="22"/>
      <c r="AB248" s="22"/>
      <c r="AC248" s="22"/>
      <c r="AD248" s="22"/>
      <c r="AE248" s="22"/>
      <c r="AF248" s="22"/>
      <c r="AG248" s="22"/>
      <c r="AH248" s="22"/>
      <c r="AI248" s="22"/>
      <c r="AJ248" s="22"/>
      <c r="AK248" s="22"/>
      <c r="AL248" s="22"/>
      <c r="AM248" s="22"/>
      <c r="AN248" s="22"/>
      <c r="AO248" s="22"/>
      <c r="AP248" s="21"/>
      <c r="AQ248" s="21"/>
      <c r="AR248" s="20"/>
      <c r="AS248" s="20"/>
      <c r="AT248" s="18"/>
      <c r="AU248" s="17"/>
      <c r="AV248" s="17"/>
      <c r="AW248" s="17"/>
      <c r="AX248" s="17"/>
      <c r="AY248" s="17"/>
      <c r="AZ248" s="17"/>
      <c r="BA248" s="17"/>
      <c r="BB248" s="17"/>
      <c r="BC248" s="17"/>
      <c r="BD248" s="17"/>
      <c r="BE248" s="17"/>
      <c r="BF248" s="17"/>
      <c r="BG248" s="16"/>
    </row>
    <row r="249" spans="1:59">
      <c r="A249" s="21"/>
      <c r="B249" s="21"/>
      <c r="C249" s="32"/>
      <c r="D249" s="21"/>
      <c r="E249" s="31"/>
      <c r="F249" s="30"/>
      <c r="G249" s="30"/>
      <c r="H249" s="29"/>
      <c r="I249" s="29"/>
      <c r="J249" s="29"/>
      <c r="K249" s="17"/>
      <c r="L249" s="47"/>
      <c r="M249" s="26"/>
      <c r="N249" s="25"/>
      <c r="O249" s="23"/>
      <c r="P249" s="23"/>
      <c r="Q249" s="23"/>
      <c r="R249" s="23"/>
      <c r="S249" s="23"/>
      <c r="T249" s="23"/>
      <c r="U249" s="23"/>
      <c r="V249" s="23"/>
      <c r="W249" s="23"/>
      <c r="X249" s="21"/>
      <c r="Y249" s="21"/>
      <c r="Z249" s="23"/>
      <c r="AA249" s="22"/>
      <c r="AB249" s="22"/>
      <c r="AC249" s="22"/>
      <c r="AD249" s="22"/>
      <c r="AE249" s="22"/>
      <c r="AF249" s="22"/>
      <c r="AG249" s="22"/>
      <c r="AH249" s="22"/>
      <c r="AI249" s="22"/>
      <c r="AJ249" s="22"/>
      <c r="AK249" s="22"/>
      <c r="AL249" s="22"/>
      <c r="AM249" s="22"/>
      <c r="AN249" s="22"/>
      <c r="AO249" s="22"/>
      <c r="AP249" s="21"/>
      <c r="AQ249" s="21"/>
      <c r="AR249" s="20"/>
      <c r="AS249" s="20"/>
      <c r="AT249" s="18"/>
      <c r="AU249" s="17"/>
      <c r="AV249" s="17"/>
      <c r="AW249" s="17"/>
      <c r="AX249" s="17"/>
      <c r="AY249" s="17"/>
      <c r="AZ249" s="17"/>
      <c r="BA249" s="17"/>
      <c r="BB249" s="17"/>
      <c r="BC249" s="17"/>
      <c r="BD249" s="17"/>
      <c r="BE249" s="17"/>
      <c r="BF249" s="17"/>
      <c r="BG249" s="16"/>
    </row>
    <row r="250" spans="1:59">
      <c r="A250" s="21"/>
      <c r="B250" s="21"/>
      <c r="C250" s="32"/>
      <c r="D250" s="21"/>
      <c r="E250" s="31"/>
      <c r="F250" s="30"/>
      <c r="G250" s="30"/>
      <c r="H250" s="29"/>
      <c r="I250" s="29"/>
      <c r="J250" s="29"/>
      <c r="K250" s="17"/>
      <c r="L250" s="47"/>
      <c r="M250" s="26"/>
      <c r="N250" s="25"/>
      <c r="O250" s="23"/>
      <c r="P250" s="23"/>
      <c r="Q250" s="23"/>
      <c r="R250" s="23"/>
      <c r="S250" s="23"/>
      <c r="T250" s="23"/>
      <c r="U250" s="23"/>
      <c r="V250" s="23"/>
      <c r="W250" s="23"/>
      <c r="X250" s="21"/>
      <c r="Y250" s="21"/>
      <c r="Z250" s="23"/>
      <c r="AA250" s="22"/>
      <c r="AB250" s="22"/>
      <c r="AC250" s="22"/>
      <c r="AD250" s="22"/>
      <c r="AE250" s="22"/>
      <c r="AF250" s="22"/>
      <c r="AG250" s="22"/>
      <c r="AH250" s="22"/>
      <c r="AI250" s="22"/>
      <c r="AJ250" s="22"/>
      <c r="AK250" s="22"/>
      <c r="AL250" s="22"/>
      <c r="AM250" s="22"/>
      <c r="AN250" s="22"/>
      <c r="AO250" s="22"/>
      <c r="AP250" s="21"/>
      <c r="AQ250" s="21"/>
      <c r="AR250" s="20"/>
      <c r="AS250" s="20"/>
      <c r="AT250" s="18"/>
      <c r="AU250" s="17"/>
      <c r="AV250" s="17"/>
      <c r="AW250" s="17"/>
      <c r="AX250" s="17"/>
      <c r="AY250" s="17"/>
      <c r="AZ250" s="17"/>
      <c r="BA250" s="17"/>
      <c r="BB250" s="17"/>
      <c r="BC250" s="17"/>
      <c r="BD250" s="17"/>
      <c r="BE250" s="17"/>
      <c r="BF250" s="17"/>
      <c r="BG250" s="16"/>
    </row>
    <row r="251" spans="1:59">
      <c r="A251" s="21"/>
      <c r="B251" s="21"/>
      <c r="C251" s="32"/>
      <c r="D251" s="21"/>
      <c r="E251" s="31"/>
      <c r="F251" s="30"/>
      <c r="G251" s="30"/>
      <c r="H251" s="29"/>
      <c r="I251" s="29"/>
      <c r="J251" s="29"/>
      <c r="K251" s="17"/>
      <c r="L251" s="47"/>
      <c r="M251" s="26"/>
      <c r="N251" s="25"/>
      <c r="O251" s="23"/>
      <c r="P251" s="23"/>
      <c r="Q251" s="23"/>
      <c r="R251" s="23"/>
      <c r="S251" s="23"/>
      <c r="T251" s="23"/>
      <c r="U251" s="23"/>
      <c r="V251" s="23"/>
      <c r="W251" s="23"/>
      <c r="X251" s="21"/>
      <c r="Y251" s="21"/>
      <c r="Z251" s="23"/>
      <c r="AA251" s="22"/>
      <c r="AB251" s="22"/>
      <c r="AC251" s="22"/>
      <c r="AD251" s="22"/>
      <c r="AE251" s="22"/>
      <c r="AF251" s="22"/>
      <c r="AG251" s="22"/>
      <c r="AH251" s="22"/>
      <c r="AI251" s="22"/>
      <c r="AJ251" s="22"/>
      <c r="AK251" s="22"/>
      <c r="AL251" s="22"/>
      <c r="AM251" s="22"/>
      <c r="AN251" s="22"/>
      <c r="AO251" s="22"/>
      <c r="AP251" s="21"/>
      <c r="AQ251" s="21"/>
      <c r="AR251" s="20"/>
      <c r="AS251" s="20"/>
      <c r="AT251" s="18"/>
      <c r="AU251" s="17"/>
      <c r="AV251" s="17"/>
      <c r="AW251" s="17"/>
      <c r="AX251" s="17"/>
      <c r="AY251" s="17"/>
      <c r="AZ251" s="17"/>
      <c r="BA251" s="17"/>
      <c r="BB251" s="17"/>
      <c r="BC251" s="17"/>
      <c r="BD251" s="17"/>
      <c r="BE251" s="17"/>
      <c r="BF251" s="17"/>
      <c r="BG251" s="16"/>
    </row>
    <row r="252" spans="1:59">
      <c r="A252" s="21"/>
      <c r="B252" s="21"/>
      <c r="C252" s="32"/>
      <c r="D252" s="21"/>
      <c r="E252" s="31"/>
      <c r="F252" s="30"/>
      <c r="G252" s="30"/>
      <c r="H252" s="29"/>
      <c r="I252" s="29"/>
      <c r="J252" s="29"/>
      <c r="K252" s="17"/>
      <c r="L252" s="47"/>
      <c r="M252" s="26"/>
      <c r="N252" s="25"/>
      <c r="O252" s="23"/>
      <c r="P252" s="23"/>
      <c r="Q252" s="23"/>
      <c r="R252" s="23"/>
      <c r="S252" s="23"/>
      <c r="T252" s="23"/>
      <c r="U252" s="23"/>
      <c r="V252" s="23"/>
      <c r="W252" s="23"/>
      <c r="X252" s="21"/>
      <c r="Y252" s="21"/>
      <c r="Z252" s="23"/>
      <c r="AA252" s="22"/>
      <c r="AB252" s="22"/>
      <c r="AC252" s="22"/>
      <c r="AD252" s="22"/>
      <c r="AE252" s="22"/>
      <c r="AF252" s="22"/>
      <c r="AG252" s="22"/>
      <c r="AH252" s="22"/>
      <c r="AI252" s="22"/>
      <c r="AJ252" s="22"/>
      <c r="AK252" s="22"/>
      <c r="AL252" s="22"/>
      <c r="AM252" s="22"/>
      <c r="AN252" s="22"/>
      <c r="AO252" s="22"/>
      <c r="AP252" s="21"/>
      <c r="AQ252" s="21"/>
      <c r="AR252" s="20"/>
      <c r="AS252" s="20"/>
      <c r="AT252" s="18"/>
      <c r="AU252" s="17"/>
      <c r="AV252" s="17"/>
      <c r="AW252" s="17"/>
      <c r="AX252" s="17"/>
      <c r="AY252" s="17"/>
      <c r="AZ252" s="17"/>
      <c r="BA252" s="17"/>
      <c r="BB252" s="17"/>
      <c r="BC252" s="17"/>
      <c r="BD252" s="17"/>
      <c r="BE252" s="17"/>
      <c r="BF252" s="17"/>
      <c r="BG252" s="16"/>
    </row>
    <row r="253" spans="1:59">
      <c r="A253" s="21"/>
      <c r="B253" s="21"/>
      <c r="C253" s="32"/>
      <c r="D253" s="21"/>
      <c r="E253" s="31"/>
      <c r="F253" s="30"/>
      <c r="G253" s="30"/>
      <c r="H253" s="29"/>
      <c r="I253" s="29"/>
      <c r="J253" s="29"/>
      <c r="K253" s="17"/>
      <c r="L253" s="47"/>
      <c r="M253" s="26"/>
      <c r="N253" s="25"/>
      <c r="O253" s="23"/>
      <c r="P253" s="23"/>
      <c r="Q253" s="23"/>
      <c r="R253" s="23"/>
      <c r="S253" s="23"/>
      <c r="T253" s="23"/>
      <c r="U253" s="23"/>
      <c r="V253" s="23"/>
      <c r="W253" s="23"/>
      <c r="X253" s="21"/>
      <c r="Y253" s="21"/>
      <c r="Z253" s="23"/>
      <c r="AA253" s="22"/>
      <c r="AB253" s="22"/>
      <c r="AC253" s="22"/>
      <c r="AD253" s="22"/>
      <c r="AE253" s="22"/>
      <c r="AF253" s="22"/>
      <c r="AG253" s="22"/>
      <c r="AH253" s="22"/>
      <c r="AI253" s="22"/>
      <c r="AJ253" s="22"/>
      <c r="AK253" s="22"/>
      <c r="AL253" s="22"/>
      <c r="AM253" s="22"/>
      <c r="AN253" s="22"/>
      <c r="AO253" s="22"/>
      <c r="AP253" s="21"/>
      <c r="AQ253" s="21"/>
      <c r="AR253" s="20"/>
      <c r="AS253" s="20"/>
      <c r="AT253" s="18"/>
      <c r="AU253" s="17"/>
      <c r="AV253" s="17"/>
      <c r="AW253" s="17"/>
      <c r="AX253" s="17"/>
      <c r="AY253" s="17"/>
      <c r="AZ253" s="17"/>
      <c r="BA253" s="17"/>
      <c r="BB253" s="17"/>
      <c r="BC253" s="17"/>
      <c r="BD253" s="17"/>
      <c r="BE253" s="17"/>
      <c r="BF253" s="17"/>
      <c r="BG253" s="16"/>
    </row>
    <row r="254" spans="1:59">
      <c r="A254" s="21"/>
      <c r="B254" s="21"/>
      <c r="C254" s="32"/>
      <c r="D254" s="21"/>
      <c r="E254" s="31"/>
      <c r="F254" s="30"/>
      <c r="G254" s="30"/>
      <c r="H254" s="29"/>
      <c r="I254" s="29"/>
      <c r="J254" s="29"/>
      <c r="K254" s="17"/>
      <c r="L254" s="47"/>
      <c r="M254" s="26"/>
      <c r="N254" s="25"/>
      <c r="O254" s="23"/>
      <c r="P254" s="23"/>
      <c r="Q254" s="23"/>
      <c r="R254" s="23"/>
      <c r="S254" s="23"/>
      <c r="T254" s="23"/>
      <c r="U254" s="23"/>
      <c r="V254" s="23"/>
      <c r="W254" s="23"/>
      <c r="X254" s="21"/>
      <c r="Y254" s="21"/>
      <c r="Z254" s="23"/>
      <c r="AA254" s="22"/>
      <c r="AB254" s="22"/>
      <c r="AC254" s="22"/>
      <c r="AD254" s="22"/>
      <c r="AE254" s="22"/>
      <c r="AF254" s="22"/>
      <c r="AG254" s="22"/>
      <c r="AH254" s="22"/>
      <c r="AI254" s="22"/>
      <c r="AJ254" s="22"/>
      <c r="AK254" s="22"/>
      <c r="AL254" s="22"/>
      <c r="AM254" s="22"/>
      <c r="AN254" s="22"/>
      <c r="AO254" s="22"/>
      <c r="AP254" s="21"/>
      <c r="AQ254" s="21"/>
      <c r="AR254" s="20"/>
      <c r="AS254" s="20"/>
      <c r="AT254" s="18"/>
      <c r="AU254" s="17"/>
      <c r="AV254" s="17"/>
      <c r="AW254" s="17"/>
      <c r="AX254" s="17"/>
      <c r="AY254" s="17"/>
      <c r="AZ254" s="17"/>
      <c r="BA254" s="17"/>
      <c r="BB254" s="17"/>
      <c r="BC254" s="17"/>
      <c r="BD254" s="17"/>
      <c r="BE254" s="17"/>
      <c r="BF254" s="17"/>
      <c r="BG254" s="16"/>
    </row>
    <row r="255" spans="1:59">
      <c r="A255" s="21"/>
      <c r="B255" s="21"/>
      <c r="C255" s="32"/>
      <c r="D255" s="21"/>
      <c r="E255" s="31"/>
      <c r="F255" s="30"/>
      <c r="G255" s="30"/>
      <c r="H255" s="29"/>
      <c r="I255" s="29"/>
      <c r="J255" s="29"/>
      <c r="K255" s="17"/>
      <c r="L255" s="47"/>
      <c r="M255" s="26"/>
      <c r="N255" s="25"/>
      <c r="O255" s="23"/>
      <c r="P255" s="23"/>
      <c r="Q255" s="23"/>
      <c r="R255" s="23"/>
      <c r="S255" s="23"/>
      <c r="T255" s="23"/>
      <c r="U255" s="23"/>
      <c r="V255" s="23"/>
      <c r="W255" s="23"/>
      <c r="X255" s="21"/>
      <c r="Y255" s="21"/>
      <c r="Z255" s="23"/>
      <c r="AA255" s="22"/>
      <c r="AB255" s="22"/>
      <c r="AC255" s="22"/>
      <c r="AD255" s="22"/>
      <c r="AE255" s="22"/>
      <c r="AF255" s="22"/>
      <c r="AG255" s="22"/>
      <c r="AH255" s="22"/>
      <c r="AI255" s="22"/>
      <c r="AJ255" s="22"/>
      <c r="AK255" s="22"/>
      <c r="AL255" s="22"/>
      <c r="AM255" s="22"/>
      <c r="AN255" s="22"/>
      <c r="AO255" s="22"/>
      <c r="AP255" s="21"/>
      <c r="AQ255" s="21"/>
      <c r="AR255" s="20"/>
      <c r="AS255" s="20"/>
      <c r="AT255" s="18"/>
      <c r="AU255" s="17"/>
      <c r="AV255" s="17"/>
      <c r="AW255" s="17"/>
      <c r="AX255" s="17"/>
      <c r="AY255" s="17"/>
      <c r="AZ255" s="17"/>
      <c r="BA255" s="17"/>
      <c r="BB255" s="17"/>
      <c r="BC255" s="17"/>
      <c r="BD255" s="17"/>
      <c r="BE255" s="17"/>
      <c r="BF255" s="17"/>
      <c r="BG255" s="16"/>
    </row>
    <row r="256" spans="1:59">
      <c r="A256" s="21"/>
      <c r="B256" s="21"/>
      <c r="C256" s="32"/>
      <c r="D256" s="21"/>
      <c r="E256" s="31"/>
      <c r="F256" s="30"/>
      <c r="G256" s="30"/>
      <c r="H256" s="29"/>
      <c r="I256" s="29"/>
      <c r="J256" s="29"/>
      <c r="K256" s="17"/>
      <c r="L256" s="47"/>
      <c r="M256" s="26"/>
      <c r="N256" s="25"/>
      <c r="O256" s="23"/>
      <c r="P256" s="23"/>
      <c r="Q256" s="23"/>
      <c r="R256" s="23"/>
      <c r="S256" s="23"/>
      <c r="T256" s="23"/>
      <c r="U256" s="23"/>
      <c r="V256" s="23"/>
      <c r="W256" s="23"/>
      <c r="X256" s="21"/>
      <c r="Y256" s="21"/>
      <c r="Z256" s="23"/>
      <c r="AA256" s="22"/>
      <c r="AB256" s="22"/>
      <c r="AC256" s="22"/>
      <c r="AD256" s="22"/>
      <c r="AE256" s="22"/>
      <c r="AF256" s="22"/>
      <c r="AG256" s="22"/>
      <c r="AH256" s="22"/>
      <c r="AI256" s="22"/>
      <c r="AJ256" s="22"/>
      <c r="AK256" s="22"/>
      <c r="AL256" s="22"/>
      <c r="AM256" s="22"/>
      <c r="AN256" s="22"/>
      <c r="AO256" s="22"/>
      <c r="AP256" s="21"/>
      <c r="AQ256" s="21"/>
      <c r="AR256" s="20"/>
      <c r="AS256" s="20"/>
      <c r="AT256" s="18"/>
      <c r="AU256" s="17"/>
      <c r="AV256" s="17"/>
      <c r="AW256" s="17"/>
      <c r="AX256" s="17"/>
      <c r="AY256" s="17"/>
      <c r="AZ256" s="17"/>
      <c r="BA256" s="17"/>
      <c r="BB256" s="17"/>
      <c r="BC256" s="17"/>
      <c r="BD256" s="17"/>
      <c r="BE256" s="17"/>
      <c r="BF256" s="17"/>
      <c r="BG256" s="16"/>
    </row>
    <row r="257" spans="1:59">
      <c r="A257" s="21"/>
      <c r="B257" s="21"/>
      <c r="C257" s="32"/>
      <c r="D257" s="21"/>
      <c r="E257" s="31"/>
      <c r="F257" s="30"/>
      <c r="G257" s="30"/>
      <c r="H257" s="29"/>
      <c r="I257" s="29"/>
      <c r="J257" s="29"/>
      <c r="K257" s="17"/>
      <c r="L257" s="47"/>
      <c r="M257" s="26"/>
      <c r="N257" s="25"/>
      <c r="O257" s="23"/>
      <c r="P257" s="23"/>
      <c r="Q257" s="23"/>
      <c r="R257" s="23"/>
      <c r="S257" s="23"/>
      <c r="T257" s="23"/>
      <c r="U257" s="23"/>
      <c r="V257" s="23"/>
      <c r="W257" s="23"/>
      <c r="X257" s="21"/>
      <c r="Y257" s="21"/>
      <c r="Z257" s="23"/>
      <c r="AA257" s="22"/>
      <c r="AB257" s="22"/>
      <c r="AC257" s="22"/>
      <c r="AD257" s="22"/>
      <c r="AE257" s="22"/>
      <c r="AF257" s="22"/>
      <c r="AG257" s="22"/>
      <c r="AH257" s="22"/>
      <c r="AI257" s="22"/>
      <c r="AJ257" s="22"/>
      <c r="AK257" s="22"/>
      <c r="AL257" s="22"/>
      <c r="AM257" s="22"/>
      <c r="AN257" s="22"/>
      <c r="AO257" s="22"/>
      <c r="AP257" s="21"/>
      <c r="AQ257" s="21"/>
      <c r="AR257" s="20"/>
      <c r="AS257" s="20"/>
      <c r="AT257" s="18"/>
      <c r="AU257" s="17"/>
      <c r="AV257" s="17"/>
      <c r="AW257" s="17"/>
      <c r="AX257" s="17"/>
      <c r="AY257" s="17"/>
      <c r="AZ257" s="17"/>
      <c r="BA257" s="17"/>
      <c r="BB257" s="17"/>
      <c r="BC257" s="17"/>
      <c r="BD257" s="17"/>
      <c r="BE257" s="17"/>
      <c r="BF257" s="17"/>
      <c r="BG257" s="16"/>
    </row>
    <row r="258" spans="1:59">
      <c r="A258" s="21"/>
      <c r="B258" s="21"/>
      <c r="C258" s="32"/>
      <c r="D258" s="21"/>
      <c r="E258" s="31"/>
      <c r="F258" s="30"/>
      <c r="G258" s="30"/>
      <c r="H258" s="29"/>
      <c r="I258" s="29"/>
      <c r="J258" s="29"/>
      <c r="K258" s="17"/>
      <c r="L258" s="47"/>
      <c r="M258" s="26"/>
      <c r="N258" s="25"/>
      <c r="O258" s="23"/>
      <c r="P258" s="23"/>
      <c r="Q258" s="23"/>
      <c r="R258" s="23"/>
      <c r="S258" s="23"/>
      <c r="T258" s="23"/>
      <c r="U258" s="23"/>
      <c r="V258" s="23"/>
      <c r="W258" s="23"/>
      <c r="X258" s="21"/>
      <c r="Y258" s="21"/>
      <c r="Z258" s="23"/>
      <c r="AA258" s="22"/>
      <c r="AB258" s="22"/>
      <c r="AC258" s="22"/>
      <c r="AD258" s="22"/>
      <c r="AE258" s="22"/>
      <c r="AF258" s="22"/>
      <c r="AG258" s="22"/>
      <c r="AH258" s="22"/>
      <c r="AI258" s="22"/>
      <c r="AJ258" s="22"/>
      <c r="AK258" s="22"/>
      <c r="AL258" s="22"/>
      <c r="AM258" s="22"/>
      <c r="AN258" s="22"/>
      <c r="AO258" s="22"/>
      <c r="AP258" s="21"/>
      <c r="AQ258" s="21"/>
      <c r="AR258" s="20"/>
      <c r="AS258" s="20"/>
      <c r="AT258" s="18"/>
      <c r="AU258" s="17"/>
      <c r="AV258" s="17"/>
      <c r="AW258" s="17"/>
      <c r="AX258" s="17"/>
      <c r="AY258" s="17"/>
      <c r="AZ258" s="17"/>
      <c r="BA258" s="17"/>
      <c r="BB258" s="17"/>
      <c r="BC258" s="17"/>
      <c r="BD258" s="17"/>
      <c r="BE258" s="17"/>
      <c r="BF258" s="17"/>
      <c r="BG258" s="16"/>
    </row>
    <row r="259" spans="1:59">
      <c r="A259" s="21"/>
      <c r="B259" s="21"/>
      <c r="C259" s="32"/>
      <c r="D259" s="21"/>
      <c r="E259" s="31"/>
      <c r="F259" s="30"/>
      <c r="G259" s="30"/>
      <c r="H259" s="29"/>
      <c r="I259" s="29"/>
      <c r="J259" s="29"/>
      <c r="K259" s="17"/>
      <c r="L259" s="47"/>
      <c r="M259" s="26"/>
      <c r="N259" s="25"/>
      <c r="O259" s="23"/>
      <c r="P259" s="23"/>
      <c r="Q259" s="23"/>
      <c r="R259" s="23"/>
      <c r="S259" s="23"/>
      <c r="T259" s="23"/>
      <c r="U259" s="23"/>
      <c r="V259" s="23"/>
      <c r="W259" s="23"/>
      <c r="X259" s="21"/>
      <c r="Y259" s="21"/>
      <c r="Z259" s="23"/>
      <c r="AA259" s="22"/>
      <c r="AB259" s="22"/>
      <c r="AC259" s="22"/>
      <c r="AD259" s="22"/>
      <c r="AE259" s="22"/>
      <c r="AF259" s="22"/>
      <c r="AG259" s="22"/>
      <c r="AH259" s="22"/>
      <c r="AI259" s="22"/>
      <c r="AJ259" s="22"/>
      <c r="AK259" s="22"/>
      <c r="AL259" s="22"/>
      <c r="AM259" s="22"/>
      <c r="AN259" s="22"/>
      <c r="AO259" s="22"/>
      <c r="AP259" s="21"/>
      <c r="AQ259" s="21"/>
      <c r="AR259" s="20"/>
      <c r="AS259" s="20"/>
      <c r="AT259" s="18"/>
      <c r="AU259" s="17"/>
      <c r="AV259" s="17"/>
      <c r="AW259" s="17"/>
      <c r="AX259" s="17"/>
      <c r="AY259" s="17"/>
      <c r="AZ259" s="17"/>
      <c r="BA259" s="17"/>
      <c r="BB259" s="17"/>
      <c r="BC259" s="17"/>
      <c r="BD259" s="17"/>
      <c r="BE259" s="17"/>
      <c r="BF259" s="17"/>
      <c r="BG259" s="16"/>
    </row>
    <row r="260" spans="1:59">
      <c r="A260" s="21"/>
      <c r="B260" s="21"/>
      <c r="C260" s="32"/>
      <c r="D260" s="21"/>
      <c r="E260" s="31"/>
      <c r="F260" s="30"/>
      <c r="G260" s="30"/>
      <c r="H260" s="29"/>
      <c r="I260" s="29"/>
      <c r="J260" s="29"/>
      <c r="K260" s="17"/>
      <c r="L260" s="47"/>
      <c r="M260" s="26"/>
      <c r="N260" s="25"/>
      <c r="O260" s="23"/>
      <c r="P260" s="23"/>
      <c r="Q260" s="23"/>
      <c r="R260" s="23"/>
      <c r="S260" s="23"/>
      <c r="T260" s="23"/>
      <c r="U260" s="23"/>
      <c r="V260" s="23"/>
      <c r="W260" s="23"/>
      <c r="X260" s="21"/>
      <c r="Y260" s="21"/>
      <c r="Z260" s="23"/>
      <c r="AA260" s="22"/>
      <c r="AB260" s="22"/>
      <c r="AC260" s="22"/>
      <c r="AD260" s="22"/>
      <c r="AE260" s="22"/>
      <c r="AF260" s="22"/>
      <c r="AG260" s="22"/>
      <c r="AH260" s="22"/>
      <c r="AI260" s="22"/>
      <c r="AJ260" s="22"/>
      <c r="AK260" s="22"/>
      <c r="AL260" s="22"/>
      <c r="AM260" s="22"/>
      <c r="AN260" s="22"/>
      <c r="AO260" s="22"/>
      <c r="AP260" s="21"/>
      <c r="AQ260" s="21"/>
      <c r="AR260" s="20"/>
      <c r="AS260" s="20"/>
      <c r="AT260" s="18"/>
      <c r="AU260" s="17"/>
      <c r="AV260" s="17"/>
      <c r="AW260" s="17"/>
      <c r="AX260" s="17"/>
      <c r="AY260" s="17"/>
      <c r="AZ260" s="17"/>
      <c r="BA260" s="17"/>
      <c r="BB260" s="17"/>
      <c r="BC260" s="17"/>
      <c r="BD260" s="17"/>
      <c r="BE260" s="17"/>
      <c r="BF260" s="17"/>
      <c r="BG260" s="16"/>
    </row>
    <row r="261" spans="1:59">
      <c r="A261" s="21"/>
      <c r="B261" s="21"/>
      <c r="C261" s="32"/>
      <c r="D261" s="21"/>
      <c r="E261" s="31"/>
      <c r="F261" s="30"/>
      <c r="G261" s="30"/>
      <c r="H261" s="29"/>
      <c r="I261" s="29"/>
      <c r="J261" s="29"/>
      <c r="K261" s="17"/>
      <c r="L261" s="47"/>
      <c r="M261" s="26"/>
      <c r="N261" s="25"/>
      <c r="O261" s="23"/>
      <c r="P261" s="23"/>
      <c r="Q261" s="23"/>
      <c r="R261" s="23"/>
      <c r="S261" s="23"/>
      <c r="T261" s="23"/>
      <c r="U261" s="23"/>
      <c r="V261" s="23"/>
      <c r="W261" s="23"/>
      <c r="X261" s="21"/>
      <c r="Y261" s="21"/>
      <c r="Z261" s="23"/>
      <c r="AA261" s="22"/>
      <c r="AB261" s="22"/>
      <c r="AC261" s="22"/>
      <c r="AD261" s="22"/>
      <c r="AE261" s="22"/>
      <c r="AF261" s="22"/>
      <c r="AG261" s="22"/>
      <c r="AH261" s="22"/>
      <c r="AI261" s="22"/>
      <c r="AJ261" s="22"/>
      <c r="AK261" s="22"/>
      <c r="AL261" s="22"/>
      <c r="AM261" s="22"/>
      <c r="AN261" s="22"/>
      <c r="AO261" s="22"/>
      <c r="AP261" s="21"/>
      <c r="AQ261" s="21"/>
      <c r="AR261" s="20"/>
      <c r="AS261" s="20"/>
      <c r="AT261" s="18"/>
      <c r="AU261" s="17"/>
      <c r="AV261" s="17"/>
      <c r="AW261" s="17"/>
      <c r="AX261" s="17"/>
      <c r="AY261" s="17"/>
      <c r="AZ261" s="17"/>
      <c r="BA261" s="17"/>
      <c r="BB261" s="17"/>
      <c r="BC261" s="17"/>
      <c r="BD261" s="17"/>
      <c r="BE261" s="17"/>
      <c r="BF261" s="17"/>
      <c r="BG261" s="16"/>
    </row>
    <row r="262" spans="1:59">
      <c r="A262" s="21"/>
      <c r="B262" s="21"/>
      <c r="C262" s="32"/>
      <c r="D262" s="21"/>
      <c r="E262" s="31"/>
      <c r="F262" s="30"/>
      <c r="G262" s="30"/>
      <c r="H262" s="29"/>
      <c r="I262" s="29"/>
      <c r="J262" s="29"/>
      <c r="K262" s="17"/>
      <c r="L262" s="47"/>
      <c r="M262" s="26"/>
      <c r="N262" s="25"/>
      <c r="O262" s="23"/>
      <c r="P262" s="23"/>
      <c r="Q262" s="23"/>
      <c r="R262" s="23"/>
      <c r="S262" s="23"/>
      <c r="T262" s="23"/>
      <c r="U262" s="23"/>
      <c r="V262" s="23"/>
      <c r="W262" s="23"/>
      <c r="X262" s="21"/>
      <c r="Y262" s="21"/>
      <c r="Z262" s="23"/>
      <c r="AA262" s="22"/>
      <c r="AB262" s="22"/>
      <c r="AC262" s="22"/>
      <c r="AD262" s="22"/>
      <c r="AE262" s="22"/>
      <c r="AF262" s="22"/>
      <c r="AG262" s="22"/>
      <c r="AH262" s="22"/>
      <c r="AI262" s="22"/>
      <c r="AJ262" s="22"/>
      <c r="AK262" s="22"/>
      <c r="AL262" s="22"/>
      <c r="AM262" s="22"/>
      <c r="AN262" s="22"/>
      <c r="AO262" s="22"/>
      <c r="AP262" s="21"/>
      <c r="AQ262" s="21"/>
      <c r="AR262" s="20"/>
      <c r="AS262" s="20"/>
      <c r="AT262" s="18"/>
      <c r="AU262" s="17"/>
      <c r="AV262" s="17"/>
      <c r="AW262" s="17"/>
      <c r="AX262" s="17"/>
      <c r="AY262" s="17"/>
      <c r="AZ262" s="17"/>
      <c r="BA262" s="17"/>
      <c r="BB262" s="17"/>
      <c r="BC262" s="17"/>
      <c r="BD262" s="17"/>
      <c r="BE262" s="17"/>
      <c r="BF262" s="17"/>
      <c r="BG262" s="16"/>
    </row>
    <row r="263" spans="1:59">
      <c r="A263" s="21"/>
      <c r="B263" s="21"/>
      <c r="C263" s="32"/>
      <c r="D263" s="21"/>
      <c r="E263" s="31"/>
      <c r="F263" s="30"/>
      <c r="G263" s="30"/>
      <c r="H263" s="29"/>
      <c r="I263" s="29"/>
      <c r="J263" s="29"/>
      <c r="K263" s="17"/>
      <c r="L263" s="47"/>
      <c r="M263" s="26"/>
      <c r="N263" s="25"/>
      <c r="O263" s="23"/>
      <c r="P263" s="23"/>
      <c r="Q263" s="23"/>
      <c r="R263" s="23"/>
      <c r="S263" s="23"/>
      <c r="T263" s="23"/>
      <c r="U263" s="23"/>
      <c r="V263" s="23"/>
      <c r="W263" s="23"/>
      <c r="X263" s="21"/>
      <c r="Y263" s="21"/>
      <c r="Z263" s="23"/>
      <c r="AA263" s="22"/>
      <c r="AB263" s="22"/>
      <c r="AC263" s="22"/>
      <c r="AD263" s="22"/>
      <c r="AE263" s="22"/>
      <c r="AF263" s="22"/>
      <c r="AG263" s="22"/>
      <c r="AH263" s="22"/>
      <c r="AI263" s="22"/>
      <c r="AJ263" s="22"/>
      <c r="AK263" s="22"/>
      <c r="AL263" s="22"/>
      <c r="AM263" s="22"/>
      <c r="AN263" s="22"/>
      <c r="AO263" s="22"/>
      <c r="AP263" s="21"/>
      <c r="AQ263" s="21"/>
      <c r="AR263" s="20"/>
      <c r="AS263" s="20"/>
      <c r="AT263" s="18"/>
      <c r="AU263" s="17"/>
      <c r="AV263" s="17"/>
      <c r="AW263" s="17"/>
      <c r="AX263" s="17"/>
      <c r="AY263" s="17"/>
      <c r="AZ263" s="17"/>
      <c r="BA263" s="17"/>
      <c r="BB263" s="17"/>
      <c r="BC263" s="17"/>
      <c r="BD263" s="17"/>
      <c r="BE263" s="17"/>
      <c r="BF263" s="17"/>
      <c r="BG263" s="16"/>
    </row>
    <row r="264" spans="1:59">
      <c r="A264" s="21"/>
      <c r="B264" s="21"/>
      <c r="C264" s="32"/>
      <c r="D264" s="21"/>
      <c r="E264" s="31"/>
      <c r="F264" s="30"/>
      <c r="G264" s="30"/>
      <c r="H264" s="29"/>
      <c r="I264" s="29"/>
      <c r="J264" s="29"/>
      <c r="K264" s="17"/>
      <c r="L264" s="47"/>
      <c r="M264" s="26"/>
      <c r="N264" s="25"/>
      <c r="O264" s="23"/>
      <c r="P264" s="23"/>
      <c r="Q264" s="23"/>
      <c r="R264" s="23"/>
      <c r="S264" s="23"/>
      <c r="T264" s="23"/>
      <c r="U264" s="23"/>
      <c r="V264" s="23"/>
      <c r="W264" s="23"/>
      <c r="X264" s="21"/>
      <c r="Y264" s="21"/>
      <c r="Z264" s="23"/>
      <c r="AA264" s="22"/>
      <c r="AB264" s="22"/>
      <c r="AC264" s="22"/>
      <c r="AD264" s="22"/>
      <c r="AE264" s="22"/>
      <c r="AF264" s="22"/>
      <c r="AG264" s="22"/>
      <c r="AH264" s="22"/>
      <c r="AI264" s="22"/>
      <c r="AJ264" s="22"/>
      <c r="AK264" s="22"/>
      <c r="AL264" s="22"/>
      <c r="AM264" s="22"/>
      <c r="AN264" s="22"/>
      <c r="AO264" s="22"/>
      <c r="AP264" s="21"/>
      <c r="AQ264" s="21"/>
      <c r="AR264" s="20"/>
      <c r="AS264" s="20"/>
      <c r="AT264" s="18"/>
      <c r="AU264" s="17"/>
      <c r="AV264" s="17"/>
      <c r="AW264" s="17"/>
      <c r="AX264" s="17"/>
      <c r="AY264" s="17"/>
      <c r="AZ264" s="17"/>
      <c r="BA264" s="17"/>
      <c r="BB264" s="17"/>
      <c r="BC264" s="17"/>
      <c r="BD264" s="17"/>
      <c r="BE264" s="17"/>
      <c r="BF264" s="17"/>
      <c r="BG264" s="16"/>
    </row>
    <row r="265" spans="1:59">
      <c r="A265" s="21"/>
      <c r="B265" s="21"/>
      <c r="C265" s="32"/>
      <c r="D265" s="21"/>
      <c r="E265" s="31"/>
      <c r="F265" s="30"/>
      <c r="G265" s="30"/>
      <c r="H265" s="29"/>
      <c r="I265" s="29"/>
      <c r="J265" s="29"/>
      <c r="K265" s="17"/>
      <c r="L265" s="47"/>
      <c r="M265" s="26"/>
      <c r="N265" s="25"/>
      <c r="O265" s="23"/>
      <c r="P265" s="23"/>
      <c r="Q265" s="23"/>
      <c r="R265" s="23"/>
      <c r="S265" s="23"/>
      <c r="T265" s="23"/>
      <c r="U265" s="23"/>
      <c r="V265" s="23"/>
      <c r="W265" s="23"/>
      <c r="X265" s="21"/>
      <c r="Y265" s="21"/>
      <c r="Z265" s="23"/>
      <c r="AA265" s="22"/>
      <c r="AB265" s="22"/>
      <c r="AC265" s="22"/>
      <c r="AD265" s="22"/>
      <c r="AE265" s="22"/>
      <c r="AF265" s="22"/>
      <c r="AG265" s="22"/>
      <c r="AH265" s="22"/>
      <c r="AI265" s="22"/>
      <c r="AJ265" s="22"/>
      <c r="AK265" s="22"/>
      <c r="AL265" s="22"/>
      <c r="AM265" s="22"/>
      <c r="AN265" s="22"/>
      <c r="AO265" s="22"/>
      <c r="AP265" s="21"/>
      <c r="AQ265" s="21"/>
      <c r="AR265" s="20"/>
      <c r="AS265" s="20"/>
      <c r="AT265" s="18"/>
      <c r="AU265" s="17"/>
      <c r="AV265" s="17"/>
      <c r="AW265" s="17"/>
      <c r="AX265" s="17"/>
      <c r="AY265" s="17"/>
      <c r="AZ265" s="17"/>
      <c r="BA265" s="17"/>
      <c r="BB265" s="17"/>
      <c r="BC265" s="17"/>
      <c r="BD265" s="17"/>
      <c r="BE265" s="17"/>
      <c r="BF265" s="17"/>
      <c r="BG265" s="16"/>
    </row>
    <row r="266" spans="1:59">
      <c r="A266" s="21"/>
      <c r="B266" s="21"/>
      <c r="C266" s="32"/>
      <c r="D266" s="21"/>
      <c r="E266" s="31"/>
      <c r="F266" s="30"/>
      <c r="G266" s="30"/>
      <c r="H266" s="29"/>
      <c r="I266" s="29"/>
      <c r="J266" s="29"/>
      <c r="K266" s="17"/>
      <c r="L266" s="47"/>
      <c r="M266" s="26"/>
      <c r="N266" s="25"/>
      <c r="O266" s="23"/>
      <c r="P266" s="23"/>
      <c r="Q266" s="23"/>
      <c r="R266" s="23"/>
      <c r="S266" s="23"/>
      <c r="T266" s="23"/>
      <c r="U266" s="23"/>
      <c r="V266" s="23"/>
      <c r="W266" s="23"/>
      <c r="X266" s="21"/>
      <c r="Y266" s="21"/>
      <c r="Z266" s="23"/>
      <c r="AA266" s="22"/>
      <c r="AB266" s="22"/>
      <c r="AC266" s="22"/>
      <c r="AD266" s="22"/>
      <c r="AE266" s="22"/>
      <c r="AF266" s="22"/>
      <c r="AG266" s="22"/>
      <c r="AH266" s="22"/>
      <c r="AI266" s="22"/>
      <c r="AJ266" s="22"/>
      <c r="AK266" s="22"/>
      <c r="AL266" s="22"/>
      <c r="AM266" s="22"/>
      <c r="AN266" s="22"/>
      <c r="AO266" s="22"/>
      <c r="AP266" s="21"/>
      <c r="AQ266" s="21"/>
      <c r="AR266" s="20"/>
      <c r="AS266" s="20"/>
      <c r="AT266" s="18"/>
      <c r="AU266" s="17"/>
      <c r="AV266" s="17"/>
      <c r="AW266" s="17"/>
      <c r="AX266" s="17"/>
      <c r="AY266" s="17"/>
      <c r="AZ266" s="17"/>
      <c r="BA266" s="17"/>
      <c r="BB266" s="17"/>
      <c r="BC266" s="17"/>
      <c r="BD266" s="17"/>
      <c r="BE266" s="17"/>
      <c r="BF266" s="17"/>
      <c r="BG266" s="16"/>
    </row>
    <row r="267" spans="1:59">
      <c r="A267" s="21"/>
      <c r="B267" s="21"/>
      <c r="C267" s="32"/>
      <c r="D267" s="21"/>
      <c r="E267" s="31"/>
      <c r="F267" s="30"/>
      <c r="G267" s="30"/>
      <c r="H267" s="29"/>
      <c r="I267" s="29"/>
      <c r="J267" s="29"/>
      <c r="K267" s="17"/>
      <c r="L267" s="47"/>
      <c r="M267" s="26"/>
      <c r="N267" s="25"/>
      <c r="O267" s="23"/>
      <c r="P267" s="23"/>
      <c r="Q267" s="23"/>
      <c r="R267" s="23"/>
      <c r="S267" s="23"/>
      <c r="T267" s="23"/>
      <c r="U267" s="23"/>
      <c r="V267" s="23"/>
      <c r="W267" s="23"/>
      <c r="X267" s="21"/>
      <c r="Y267" s="21"/>
      <c r="Z267" s="23"/>
      <c r="AA267" s="22"/>
      <c r="AB267" s="22"/>
      <c r="AC267" s="22"/>
      <c r="AD267" s="22"/>
      <c r="AE267" s="22"/>
      <c r="AF267" s="22"/>
      <c r="AG267" s="22"/>
      <c r="AH267" s="22"/>
      <c r="AI267" s="22"/>
      <c r="AJ267" s="22"/>
      <c r="AK267" s="22"/>
      <c r="AL267" s="22"/>
      <c r="AM267" s="22"/>
      <c r="AN267" s="22"/>
      <c r="AO267" s="22"/>
      <c r="AP267" s="21"/>
      <c r="AQ267" s="21"/>
      <c r="AR267" s="20"/>
      <c r="AS267" s="20"/>
      <c r="AT267" s="18"/>
      <c r="AU267" s="17"/>
      <c r="AV267" s="17"/>
      <c r="AW267" s="17"/>
      <c r="AX267" s="17"/>
      <c r="AY267" s="17"/>
      <c r="AZ267" s="17"/>
      <c r="BA267" s="17"/>
      <c r="BB267" s="17"/>
      <c r="BC267" s="17"/>
      <c r="BD267" s="17"/>
      <c r="BE267" s="17"/>
      <c r="BF267" s="17"/>
      <c r="BG267" s="16"/>
    </row>
    <row r="268" spans="1:59">
      <c r="A268" s="21"/>
      <c r="B268" s="21"/>
      <c r="C268" s="32"/>
      <c r="D268" s="21"/>
      <c r="E268" s="31"/>
      <c r="F268" s="30"/>
      <c r="G268" s="30"/>
      <c r="H268" s="29"/>
      <c r="I268" s="29"/>
      <c r="J268" s="29"/>
      <c r="K268" s="17"/>
      <c r="L268" s="47"/>
      <c r="M268" s="26"/>
      <c r="N268" s="25"/>
      <c r="O268" s="23"/>
      <c r="P268" s="23"/>
      <c r="Q268" s="23"/>
      <c r="R268" s="23"/>
      <c r="S268" s="23"/>
      <c r="T268" s="23"/>
      <c r="U268" s="23"/>
      <c r="V268" s="23"/>
      <c r="W268" s="23"/>
      <c r="X268" s="21"/>
      <c r="Y268" s="21"/>
      <c r="Z268" s="23"/>
      <c r="AA268" s="22"/>
      <c r="AB268" s="22"/>
      <c r="AC268" s="22"/>
      <c r="AD268" s="22"/>
      <c r="AE268" s="22"/>
      <c r="AF268" s="22"/>
      <c r="AG268" s="22"/>
      <c r="AH268" s="22"/>
      <c r="AI268" s="22"/>
      <c r="AJ268" s="22"/>
      <c r="AK268" s="22"/>
      <c r="AL268" s="22"/>
      <c r="AM268" s="22"/>
      <c r="AN268" s="22"/>
      <c r="AO268" s="22"/>
      <c r="AP268" s="21"/>
      <c r="AQ268" s="21"/>
      <c r="AR268" s="20"/>
      <c r="AS268" s="20"/>
      <c r="AT268" s="18"/>
      <c r="AU268" s="17"/>
      <c r="AV268" s="17"/>
      <c r="AW268" s="17"/>
      <c r="AX268" s="17"/>
      <c r="AY268" s="17"/>
      <c r="AZ268" s="17"/>
      <c r="BA268" s="17"/>
      <c r="BB268" s="17"/>
      <c r="BC268" s="17"/>
      <c r="BD268" s="17"/>
      <c r="BE268" s="17"/>
      <c r="BF268" s="17"/>
      <c r="BG268" s="16"/>
    </row>
    <row r="269" spans="1:59">
      <c r="A269" s="21"/>
      <c r="B269" s="21"/>
      <c r="C269" s="32"/>
      <c r="D269" s="21"/>
      <c r="E269" s="31"/>
      <c r="F269" s="30"/>
      <c r="G269" s="30"/>
      <c r="H269" s="29"/>
      <c r="I269" s="29"/>
      <c r="J269" s="29"/>
      <c r="K269" s="17"/>
      <c r="L269" s="47"/>
      <c r="M269" s="26"/>
      <c r="N269" s="25"/>
      <c r="O269" s="23"/>
      <c r="P269" s="23"/>
      <c r="Q269" s="23"/>
      <c r="R269" s="23"/>
      <c r="S269" s="23"/>
      <c r="T269" s="23"/>
      <c r="U269" s="23"/>
      <c r="V269" s="23"/>
      <c r="W269" s="23"/>
      <c r="X269" s="21"/>
      <c r="Y269" s="21"/>
      <c r="Z269" s="23"/>
      <c r="AA269" s="22"/>
      <c r="AB269" s="22"/>
      <c r="AC269" s="22"/>
      <c r="AD269" s="22"/>
      <c r="AE269" s="22"/>
      <c r="AF269" s="22"/>
      <c r="AG269" s="22"/>
      <c r="AH269" s="22"/>
      <c r="AI269" s="22"/>
      <c r="AJ269" s="22"/>
      <c r="AK269" s="22"/>
      <c r="AL269" s="22"/>
      <c r="AM269" s="22"/>
      <c r="AN269" s="22"/>
      <c r="AO269" s="22"/>
      <c r="AP269" s="21"/>
      <c r="AQ269" s="21"/>
      <c r="AR269" s="20"/>
      <c r="AS269" s="20"/>
      <c r="AT269" s="18"/>
      <c r="AU269" s="17"/>
      <c r="AV269" s="17"/>
      <c r="AW269" s="17"/>
      <c r="AX269" s="17"/>
      <c r="AY269" s="17"/>
      <c r="AZ269" s="17"/>
      <c r="BA269" s="17"/>
      <c r="BB269" s="17"/>
      <c r="BC269" s="17"/>
      <c r="BD269" s="17"/>
      <c r="BE269" s="17"/>
      <c r="BF269" s="17"/>
      <c r="BG269" s="16"/>
    </row>
    <row r="270" spans="1:59">
      <c r="A270" s="21"/>
      <c r="B270" s="21"/>
      <c r="C270" s="32"/>
      <c r="D270" s="21"/>
      <c r="E270" s="31"/>
      <c r="F270" s="30"/>
      <c r="G270" s="30"/>
      <c r="H270" s="29"/>
      <c r="I270" s="29"/>
      <c r="J270" s="29"/>
      <c r="K270" s="17"/>
      <c r="L270" s="47"/>
      <c r="M270" s="26"/>
      <c r="N270" s="25"/>
      <c r="O270" s="23"/>
      <c r="P270" s="23"/>
      <c r="Q270" s="23"/>
      <c r="R270" s="23"/>
      <c r="S270" s="23"/>
      <c r="T270" s="23"/>
      <c r="U270" s="23"/>
      <c r="V270" s="23"/>
      <c r="W270" s="23"/>
      <c r="X270" s="21"/>
      <c r="Y270" s="21"/>
      <c r="Z270" s="23"/>
      <c r="AA270" s="22"/>
      <c r="AB270" s="22"/>
      <c r="AC270" s="22"/>
      <c r="AD270" s="22"/>
      <c r="AE270" s="22"/>
      <c r="AF270" s="22"/>
      <c r="AG270" s="22"/>
      <c r="AH270" s="22"/>
      <c r="AI270" s="22"/>
      <c r="AJ270" s="22"/>
      <c r="AK270" s="22"/>
      <c r="AL270" s="22"/>
      <c r="AM270" s="22"/>
      <c r="AN270" s="22"/>
      <c r="AO270" s="22"/>
      <c r="AP270" s="21"/>
      <c r="AQ270" s="21"/>
      <c r="AR270" s="20"/>
      <c r="AS270" s="20"/>
      <c r="AT270" s="18"/>
      <c r="AU270" s="17"/>
      <c r="AV270" s="17"/>
      <c r="AW270" s="17"/>
      <c r="AX270" s="17"/>
      <c r="AY270" s="17"/>
      <c r="AZ270" s="17"/>
      <c r="BA270" s="17"/>
      <c r="BB270" s="17"/>
      <c r="BC270" s="17"/>
      <c r="BD270" s="17"/>
      <c r="BE270" s="17"/>
      <c r="BF270" s="17"/>
      <c r="BG270" s="16"/>
    </row>
    <row r="271" spans="1:59">
      <c r="A271" s="21"/>
      <c r="B271" s="21"/>
      <c r="C271" s="32"/>
      <c r="D271" s="21"/>
      <c r="E271" s="31"/>
      <c r="F271" s="30"/>
      <c r="G271" s="30"/>
      <c r="H271" s="29"/>
      <c r="I271" s="29"/>
      <c r="J271" s="29"/>
      <c r="K271" s="17"/>
      <c r="L271" s="47"/>
      <c r="M271" s="26"/>
      <c r="N271" s="25"/>
      <c r="O271" s="23"/>
      <c r="P271" s="23"/>
      <c r="Q271" s="23"/>
      <c r="R271" s="23"/>
      <c r="S271" s="23"/>
      <c r="T271" s="23"/>
      <c r="U271" s="23"/>
      <c r="V271" s="23"/>
      <c r="W271" s="23"/>
      <c r="X271" s="21"/>
      <c r="Y271" s="21"/>
      <c r="Z271" s="23"/>
      <c r="AA271" s="22"/>
      <c r="AB271" s="22"/>
      <c r="AC271" s="22"/>
      <c r="AD271" s="22"/>
      <c r="AE271" s="22"/>
      <c r="AF271" s="22"/>
      <c r="AG271" s="22"/>
      <c r="AH271" s="22"/>
      <c r="AI271" s="22"/>
      <c r="AJ271" s="22"/>
      <c r="AK271" s="22"/>
      <c r="AL271" s="22"/>
      <c r="AM271" s="22"/>
      <c r="AN271" s="22"/>
      <c r="AO271" s="22"/>
      <c r="AP271" s="21"/>
      <c r="AQ271" s="21"/>
      <c r="AR271" s="20"/>
      <c r="AS271" s="20"/>
      <c r="AT271" s="18"/>
      <c r="AU271" s="17"/>
      <c r="AV271" s="17"/>
      <c r="AW271" s="17"/>
      <c r="AX271" s="17"/>
      <c r="AY271" s="17"/>
      <c r="AZ271" s="17"/>
      <c r="BA271" s="17"/>
      <c r="BB271" s="17"/>
      <c r="BC271" s="17"/>
      <c r="BD271" s="17"/>
      <c r="BE271" s="17"/>
      <c r="BF271" s="17"/>
      <c r="BG271" s="16"/>
    </row>
    <row r="272" spans="1:59">
      <c r="A272" s="21"/>
      <c r="B272" s="21"/>
      <c r="C272" s="32"/>
      <c r="D272" s="21"/>
      <c r="E272" s="31"/>
      <c r="F272" s="30"/>
      <c r="G272" s="30"/>
      <c r="H272" s="29"/>
      <c r="I272" s="29"/>
      <c r="J272" s="29"/>
      <c r="K272" s="17"/>
      <c r="L272" s="47"/>
      <c r="M272" s="26"/>
      <c r="N272" s="25"/>
      <c r="O272" s="23"/>
      <c r="P272" s="23"/>
      <c r="Q272" s="23"/>
      <c r="R272" s="23"/>
      <c r="S272" s="23"/>
      <c r="T272" s="23"/>
      <c r="U272" s="23"/>
      <c r="V272" s="23"/>
      <c r="W272" s="23"/>
      <c r="X272" s="21"/>
      <c r="Y272" s="21"/>
      <c r="Z272" s="23"/>
      <c r="AA272" s="22"/>
      <c r="AB272" s="22"/>
      <c r="AC272" s="22"/>
      <c r="AD272" s="22"/>
      <c r="AE272" s="22"/>
      <c r="AF272" s="22"/>
      <c r="AG272" s="22"/>
      <c r="AH272" s="22"/>
      <c r="AI272" s="22"/>
      <c r="AJ272" s="22"/>
      <c r="AK272" s="22"/>
      <c r="AL272" s="22"/>
      <c r="AM272" s="22"/>
      <c r="AN272" s="22"/>
      <c r="AO272" s="22"/>
      <c r="AP272" s="21"/>
      <c r="AQ272" s="21"/>
      <c r="AR272" s="20"/>
      <c r="AS272" s="20"/>
      <c r="AT272" s="18"/>
      <c r="AU272" s="17"/>
      <c r="AV272" s="17"/>
      <c r="AW272" s="17"/>
      <c r="AX272" s="17"/>
      <c r="AY272" s="17"/>
      <c r="AZ272" s="17"/>
      <c r="BA272" s="17"/>
      <c r="BB272" s="17"/>
      <c r="BC272" s="17"/>
      <c r="BD272" s="17"/>
      <c r="BE272" s="17"/>
      <c r="BF272" s="17"/>
      <c r="BG272" s="16"/>
    </row>
    <row r="273" spans="1:59">
      <c r="A273" s="21"/>
      <c r="B273" s="21"/>
      <c r="C273" s="32"/>
      <c r="D273" s="21"/>
      <c r="E273" s="31"/>
      <c r="F273" s="30"/>
      <c r="G273" s="30"/>
      <c r="H273" s="29"/>
      <c r="I273" s="29"/>
      <c r="J273" s="29"/>
      <c r="K273" s="17"/>
      <c r="L273" s="47"/>
      <c r="M273" s="26"/>
      <c r="N273" s="25"/>
      <c r="O273" s="23"/>
      <c r="P273" s="23"/>
      <c r="Q273" s="23"/>
      <c r="R273" s="23"/>
      <c r="S273" s="23"/>
      <c r="T273" s="23"/>
      <c r="U273" s="23"/>
      <c r="V273" s="23"/>
      <c r="W273" s="23"/>
      <c r="X273" s="21"/>
      <c r="Y273" s="21"/>
      <c r="Z273" s="23"/>
      <c r="AA273" s="22"/>
      <c r="AB273" s="22"/>
      <c r="AC273" s="22"/>
      <c r="AD273" s="22"/>
      <c r="AE273" s="22"/>
      <c r="AF273" s="22"/>
      <c r="AG273" s="22"/>
      <c r="AH273" s="22"/>
      <c r="AI273" s="22"/>
      <c r="AJ273" s="22"/>
      <c r="AK273" s="22"/>
      <c r="AL273" s="22"/>
      <c r="AM273" s="22"/>
      <c r="AN273" s="22"/>
      <c r="AO273" s="22"/>
      <c r="AP273" s="21"/>
      <c r="AQ273" s="21"/>
      <c r="AR273" s="20"/>
      <c r="AS273" s="20"/>
      <c r="AT273" s="18"/>
      <c r="AU273" s="17"/>
      <c r="AV273" s="17"/>
      <c r="AW273" s="17"/>
      <c r="AX273" s="17"/>
      <c r="AY273" s="17"/>
      <c r="AZ273" s="17"/>
      <c r="BA273" s="17"/>
      <c r="BB273" s="17"/>
      <c r="BC273" s="17"/>
      <c r="BD273" s="17"/>
      <c r="BE273" s="17"/>
      <c r="BF273" s="17"/>
      <c r="BG273" s="16"/>
    </row>
    <row r="274" spans="1:59">
      <c r="A274" s="21"/>
      <c r="B274" s="21"/>
      <c r="C274" s="32"/>
      <c r="D274" s="21"/>
      <c r="E274" s="31"/>
      <c r="F274" s="30"/>
      <c r="G274" s="30"/>
      <c r="H274" s="29"/>
      <c r="I274" s="29"/>
      <c r="J274" s="29"/>
      <c r="K274" s="17"/>
      <c r="L274" s="47"/>
      <c r="M274" s="26"/>
      <c r="N274" s="25"/>
      <c r="O274" s="23"/>
      <c r="P274" s="23"/>
      <c r="Q274" s="23"/>
      <c r="R274" s="23"/>
      <c r="S274" s="23"/>
      <c r="T274" s="23"/>
      <c r="U274" s="23"/>
      <c r="V274" s="23"/>
      <c r="W274" s="23"/>
      <c r="X274" s="21"/>
      <c r="Y274" s="21"/>
      <c r="Z274" s="23"/>
      <c r="AA274" s="22"/>
      <c r="AB274" s="22"/>
      <c r="AC274" s="22"/>
      <c r="AD274" s="22"/>
      <c r="AE274" s="22"/>
      <c r="AF274" s="22"/>
      <c r="AG274" s="22"/>
      <c r="AH274" s="22"/>
      <c r="AI274" s="22"/>
      <c r="AJ274" s="22"/>
      <c r="AK274" s="22"/>
      <c r="AL274" s="22"/>
      <c r="AM274" s="22"/>
      <c r="AN274" s="22"/>
      <c r="AO274" s="22"/>
      <c r="AP274" s="21"/>
      <c r="AQ274" s="21"/>
      <c r="AR274" s="20"/>
      <c r="AS274" s="20"/>
      <c r="AT274" s="18"/>
      <c r="AU274" s="17"/>
      <c r="AV274" s="17"/>
      <c r="AW274" s="17"/>
      <c r="AX274" s="17"/>
      <c r="AY274" s="17"/>
      <c r="AZ274" s="17"/>
      <c r="BA274" s="17"/>
      <c r="BB274" s="17"/>
      <c r="BC274" s="17"/>
      <c r="BD274" s="17"/>
      <c r="BE274" s="17"/>
      <c r="BF274" s="17"/>
      <c r="BG274" s="16"/>
    </row>
    <row r="275" spans="1:59">
      <c r="A275" s="21"/>
      <c r="B275" s="21"/>
      <c r="C275" s="32"/>
      <c r="D275" s="21"/>
      <c r="E275" s="31"/>
      <c r="F275" s="30"/>
      <c r="G275" s="30"/>
      <c r="H275" s="29"/>
      <c r="I275" s="29"/>
      <c r="J275" s="29"/>
      <c r="K275" s="17"/>
      <c r="L275" s="47"/>
      <c r="M275" s="26"/>
      <c r="N275" s="25"/>
      <c r="O275" s="23"/>
      <c r="P275" s="23"/>
      <c r="Q275" s="23"/>
      <c r="R275" s="23"/>
      <c r="S275" s="23"/>
      <c r="T275" s="23"/>
      <c r="U275" s="23"/>
      <c r="V275" s="23"/>
      <c r="W275" s="23"/>
      <c r="X275" s="21"/>
      <c r="Y275" s="21"/>
      <c r="Z275" s="23"/>
      <c r="AA275" s="22"/>
      <c r="AB275" s="22"/>
      <c r="AC275" s="22"/>
      <c r="AD275" s="22"/>
      <c r="AE275" s="22"/>
      <c r="AF275" s="22"/>
      <c r="AG275" s="22"/>
      <c r="AH275" s="22"/>
      <c r="AI275" s="22"/>
      <c r="AJ275" s="22"/>
      <c r="AK275" s="22"/>
      <c r="AL275" s="22"/>
      <c r="AM275" s="22"/>
      <c r="AN275" s="22"/>
      <c r="AO275" s="22"/>
      <c r="AP275" s="21"/>
      <c r="AQ275" s="21"/>
      <c r="AR275" s="20"/>
      <c r="AS275" s="20"/>
      <c r="AT275" s="18"/>
      <c r="AU275" s="17"/>
      <c r="AV275" s="17"/>
      <c r="AW275" s="17"/>
      <c r="AX275" s="17"/>
      <c r="AY275" s="17"/>
      <c r="AZ275" s="17"/>
      <c r="BA275" s="17"/>
      <c r="BB275" s="17"/>
      <c r="BC275" s="17"/>
      <c r="BD275" s="17"/>
      <c r="BE275" s="17"/>
      <c r="BF275" s="17"/>
      <c r="BG275" s="16"/>
    </row>
    <row r="276" spans="1:59">
      <c r="A276" s="21"/>
      <c r="B276" s="21"/>
      <c r="C276" s="32"/>
      <c r="D276" s="21"/>
      <c r="E276" s="31"/>
      <c r="F276" s="30"/>
      <c r="G276" s="30"/>
      <c r="H276" s="29"/>
      <c r="I276" s="29"/>
      <c r="J276" s="29"/>
      <c r="K276" s="17"/>
      <c r="L276" s="47"/>
      <c r="M276" s="26"/>
      <c r="N276" s="25"/>
      <c r="O276" s="23"/>
      <c r="P276" s="23"/>
      <c r="Q276" s="23"/>
      <c r="R276" s="23"/>
      <c r="S276" s="23"/>
      <c r="T276" s="23"/>
      <c r="U276" s="23"/>
      <c r="V276" s="23"/>
      <c r="W276" s="23"/>
      <c r="X276" s="21"/>
      <c r="Y276" s="21"/>
      <c r="Z276" s="23"/>
      <c r="AA276" s="22"/>
      <c r="AB276" s="22"/>
      <c r="AC276" s="22"/>
      <c r="AD276" s="22"/>
      <c r="AE276" s="22"/>
      <c r="AF276" s="22"/>
      <c r="AG276" s="22"/>
      <c r="AH276" s="22"/>
      <c r="AI276" s="22"/>
      <c r="AJ276" s="22"/>
      <c r="AK276" s="22"/>
      <c r="AL276" s="22"/>
      <c r="AM276" s="22"/>
      <c r="AN276" s="22"/>
      <c r="AO276" s="22"/>
      <c r="AP276" s="21"/>
      <c r="AQ276" s="21"/>
      <c r="AR276" s="20"/>
      <c r="AS276" s="20"/>
      <c r="AT276" s="18"/>
      <c r="AU276" s="17"/>
      <c r="AV276" s="17"/>
      <c r="AW276" s="17"/>
      <c r="AX276" s="17"/>
      <c r="AY276" s="17"/>
      <c r="AZ276" s="17"/>
      <c r="BA276" s="17"/>
      <c r="BB276" s="17"/>
      <c r="BC276" s="17"/>
      <c r="BD276" s="17"/>
      <c r="BE276" s="17"/>
      <c r="BF276" s="17"/>
      <c r="BG276" s="16"/>
    </row>
    <row r="277" spans="1:59">
      <c r="A277" s="21"/>
      <c r="B277" s="21"/>
      <c r="C277" s="32"/>
      <c r="D277" s="21"/>
      <c r="E277" s="31"/>
      <c r="F277" s="30"/>
      <c r="G277" s="30"/>
      <c r="H277" s="29"/>
      <c r="I277" s="29"/>
      <c r="J277" s="29"/>
      <c r="K277" s="17"/>
      <c r="L277" s="47"/>
      <c r="M277" s="26"/>
      <c r="N277" s="25"/>
      <c r="O277" s="23"/>
      <c r="P277" s="23"/>
      <c r="Q277" s="23"/>
      <c r="R277" s="23"/>
      <c r="S277" s="23"/>
      <c r="T277" s="23"/>
      <c r="U277" s="23"/>
      <c r="V277" s="23"/>
      <c r="W277" s="23"/>
      <c r="X277" s="21"/>
      <c r="Y277" s="21"/>
      <c r="Z277" s="23"/>
      <c r="AA277" s="22"/>
      <c r="AB277" s="22"/>
      <c r="AC277" s="22"/>
      <c r="AD277" s="22"/>
      <c r="AE277" s="22"/>
      <c r="AF277" s="22"/>
      <c r="AG277" s="22"/>
      <c r="AH277" s="22"/>
      <c r="AI277" s="22"/>
      <c r="AJ277" s="22"/>
      <c r="AK277" s="22"/>
      <c r="AL277" s="22"/>
      <c r="AM277" s="22"/>
      <c r="AN277" s="22"/>
      <c r="AO277" s="22"/>
      <c r="AP277" s="21"/>
      <c r="AQ277" s="21"/>
      <c r="AR277" s="20"/>
      <c r="AS277" s="20"/>
      <c r="AT277" s="18"/>
      <c r="AU277" s="17"/>
      <c r="AV277" s="17"/>
      <c r="AW277" s="17"/>
      <c r="AX277" s="17"/>
      <c r="AY277" s="17"/>
      <c r="AZ277" s="17"/>
      <c r="BA277" s="17"/>
      <c r="BB277" s="17"/>
      <c r="BC277" s="17"/>
      <c r="BD277" s="17"/>
      <c r="BE277" s="17"/>
      <c r="BF277" s="17"/>
      <c r="BG277" s="16"/>
    </row>
    <row r="278" spans="1:59">
      <c r="A278" s="21"/>
      <c r="B278" s="21"/>
      <c r="C278" s="32"/>
      <c r="D278" s="21"/>
      <c r="E278" s="31"/>
      <c r="F278" s="30"/>
      <c r="G278" s="30"/>
      <c r="H278" s="29"/>
      <c r="I278" s="29"/>
      <c r="J278" s="29"/>
      <c r="K278" s="17"/>
      <c r="L278" s="47"/>
      <c r="M278" s="26"/>
      <c r="N278" s="25"/>
      <c r="O278" s="23"/>
      <c r="P278" s="23"/>
      <c r="Q278" s="23"/>
      <c r="R278" s="23"/>
      <c r="S278" s="23"/>
      <c r="T278" s="23"/>
      <c r="U278" s="23"/>
      <c r="V278" s="23"/>
      <c r="W278" s="23"/>
      <c r="X278" s="21"/>
      <c r="Y278" s="21"/>
      <c r="Z278" s="23"/>
      <c r="AA278" s="22"/>
      <c r="AB278" s="22"/>
      <c r="AC278" s="22"/>
      <c r="AD278" s="22"/>
      <c r="AE278" s="22"/>
      <c r="AF278" s="22"/>
      <c r="AG278" s="22"/>
      <c r="AH278" s="22"/>
      <c r="AI278" s="22"/>
      <c r="AJ278" s="22"/>
      <c r="AK278" s="22"/>
      <c r="AL278" s="22"/>
      <c r="AM278" s="22"/>
      <c r="AN278" s="22"/>
      <c r="AO278" s="22"/>
      <c r="AP278" s="21"/>
      <c r="AQ278" s="21"/>
      <c r="AR278" s="20"/>
      <c r="AS278" s="20"/>
      <c r="AT278" s="18"/>
      <c r="AU278" s="17"/>
      <c r="AV278" s="17"/>
      <c r="AW278" s="17"/>
      <c r="AX278" s="17"/>
      <c r="AY278" s="17"/>
      <c r="AZ278" s="17"/>
      <c r="BA278" s="17"/>
      <c r="BB278" s="17"/>
      <c r="BC278" s="17"/>
      <c r="BD278" s="17"/>
      <c r="BE278" s="17"/>
      <c r="BF278" s="17"/>
      <c r="BG278" s="16"/>
    </row>
    <row r="279" spans="1:59">
      <c r="A279" s="21"/>
      <c r="B279" s="21"/>
      <c r="C279" s="32"/>
      <c r="D279" s="21"/>
      <c r="E279" s="31"/>
      <c r="F279" s="30"/>
      <c r="G279" s="30"/>
      <c r="H279" s="29"/>
      <c r="I279" s="29"/>
      <c r="J279" s="29"/>
      <c r="K279" s="17"/>
      <c r="L279" s="47"/>
      <c r="M279" s="26"/>
      <c r="N279" s="25"/>
      <c r="O279" s="23"/>
      <c r="P279" s="23"/>
      <c r="Q279" s="23"/>
      <c r="R279" s="23"/>
      <c r="S279" s="23"/>
      <c r="T279" s="23"/>
      <c r="U279" s="23"/>
      <c r="V279" s="23"/>
      <c r="W279" s="23"/>
      <c r="X279" s="21"/>
      <c r="Y279" s="21"/>
      <c r="Z279" s="23"/>
      <c r="AA279" s="22"/>
      <c r="AB279" s="22"/>
      <c r="AC279" s="22"/>
      <c r="AD279" s="22"/>
      <c r="AE279" s="22"/>
      <c r="AF279" s="22"/>
      <c r="AG279" s="22"/>
      <c r="AH279" s="22"/>
      <c r="AI279" s="22"/>
      <c r="AJ279" s="22"/>
      <c r="AK279" s="22"/>
      <c r="AL279" s="22"/>
      <c r="AM279" s="22"/>
      <c r="AN279" s="22"/>
      <c r="AO279" s="22"/>
      <c r="AP279" s="21"/>
      <c r="AQ279" s="21"/>
      <c r="AR279" s="20"/>
      <c r="AS279" s="20"/>
      <c r="AT279" s="18"/>
      <c r="AU279" s="17"/>
      <c r="AV279" s="17"/>
      <c r="AW279" s="17"/>
      <c r="AX279" s="17"/>
      <c r="AY279" s="17"/>
      <c r="AZ279" s="17"/>
      <c r="BA279" s="17"/>
      <c r="BB279" s="17"/>
      <c r="BC279" s="17"/>
      <c r="BD279" s="17"/>
      <c r="BE279" s="17"/>
      <c r="BF279" s="17"/>
      <c r="BG279" s="16"/>
    </row>
    <row r="280" spans="1:59">
      <c r="A280" s="21"/>
      <c r="B280" s="21"/>
      <c r="C280" s="32"/>
      <c r="D280" s="21"/>
      <c r="E280" s="31"/>
      <c r="F280" s="30"/>
      <c r="G280" s="30"/>
      <c r="H280" s="29"/>
      <c r="I280" s="29"/>
      <c r="J280" s="29"/>
      <c r="K280" s="17"/>
      <c r="L280" s="47"/>
      <c r="M280" s="26"/>
      <c r="N280" s="25"/>
      <c r="O280" s="23"/>
      <c r="P280" s="23"/>
      <c r="Q280" s="23"/>
      <c r="R280" s="23"/>
      <c r="S280" s="23"/>
      <c r="T280" s="23"/>
      <c r="U280" s="23"/>
      <c r="V280" s="23"/>
      <c r="W280" s="23"/>
      <c r="X280" s="21"/>
      <c r="Y280" s="21"/>
      <c r="Z280" s="23"/>
      <c r="AA280" s="22"/>
      <c r="AB280" s="22"/>
      <c r="AC280" s="22"/>
      <c r="AD280" s="22"/>
      <c r="AE280" s="22"/>
      <c r="AF280" s="22"/>
      <c r="AG280" s="22"/>
      <c r="AH280" s="22"/>
      <c r="AI280" s="22"/>
      <c r="AJ280" s="22"/>
      <c r="AK280" s="22"/>
      <c r="AL280" s="22"/>
      <c r="AM280" s="22"/>
      <c r="AN280" s="22"/>
      <c r="AO280" s="22"/>
      <c r="AP280" s="21"/>
      <c r="AQ280" s="21"/>
      <c r="AR280" s="20"/>
      <c r="AS280" s="20"/>
      <c r="AT280" s="18"/>
      <c r="AU280" s="17"/>
      <c r="AV280" s="17"/>
      <c r="AW280" s="17"/>
      <c r="AX280" s="17"/>
      <c r="AY280" s="17"/>
      <c r="AZ280" s="17"/>
      <c r="BA280" s="17"/>
      <c r="BB280" s="17"/>
      <c r="BC280" s="17"/>
      <c r="BD280" s="17"/>
      <c r="BE280" s="17"/>
      <c r="BF280" s="17"/>
      <c r="BG280" s="16"/>
    </row>
    <row r="281" spans="1:59">
      <c r="A281" s="21"/>
      <c r="B281" s="21"/>
      <c r="C281" s="32"/>
      <c r="D281" s="21"/>
      <c r="E281" s="31"/>
      <c r="F281" s="30"/>
      <c r="G281" s="30"/>
      <c r="H281" s="29"/>
      <c r="I281" s="29"/>
      <c r="J281" s="29"/>
      <c r="K281" s="17"/>
      <c r="L281" s="47"/>
      <c r="M281" s="26"/>
      <c r="N281" s="25"/>
      <c r="O281" s="23"/>
      <c r="P281" s="23"/>
      <c r="Q281" s="23"/>
      <c r="R281" s="23"/>
      <c r="S281" s="23"/>
      <c r="T281" s="23"/>
      <c r="U281" s="23"/>
      <c r="V281" s="23"/>
      <c r="W281" s="23"/>
      <c r="X281" s="21"/>
      <c r="Y281" s="21"/>
      <c r="Z281" s="23"/>
      <c r="AA281" s="22"/>
      <c r="AB281" s="22"/>
      <c r="AC281" s="22"/>
      <c r="AD281" s="22"/>
      <c r="AE281" s="22"/>
      <c r="AF281" s="22"/>
      <c r="AG281" s="22"/>
      <c r="AH281" s="22"/>
      <c r="AI281" s="22"/>
      <c r="AJ281" s="22"/>
      <c r="AK281" s="22"/>
      <c r="AL281" s="22"/>
      <c r="AM281" s="22"/>
      <c r="AN281" s="22"/>
      <c r="AO281" s="22"/>
      <c r="AP281" s="21"/>
      <c r="AQ281" s="21"/>
      <c r="AR281" s="20"/>
      <c r="AS281" s="20"/>
      <c r="AT281" s="18"/>
      <c r="AU281" s="17"/>
      <c r="AV281" s="17"/>
      <c r="AW281" s="17"/>
      <c r="AX281" s="17"/>
      <c r="AY281" s="17"/>
      <c r="AZ281" s="17"/>
      <c r="BA281" s="17"/>
      <c r="BB281" s="17"/>
      <c r="BC281" s="17"/>
      <c r="BD281" s="17"/>
      <c r="BE281" s="17"/>
      <c r="BF281" s="17"/>
      <c r="BG281" s="16"/>
    </row>
    <row r="282" spans="1:59">
      <c r="A282" s="21"/>
      <c r="B282" s="21"/>
      <c r="C282" s="32"/>
      <c r="D282" s="21"/>
      <c r="E282" s="31"/>
      <c r="F282" s="30"/>
      <c r="G282" s="30"/>
      <c r="H282" s="29"/>
      <c r="I282" s="29"/>
      <c r="J282" s="29"/>
      <c r="K282" s="17"/>
      <c r="L282" s="47"/>
      <c r="M282" s="26"/>
      <c r="N282" s="25"/>
      <c r="O282" s="23"/>
      <c r="P282" s="23"/>
      <c r="Q282" s="23"/>
      <c r="R282" s="23"/>
      <c r="S282" s="23"/>
      <c r="T282" s="23"/>
      <c r="U282" s="23"/>
      <c r="V282" s="23"/>
      <c r="W282" s="23"/>
      <c r="X282" s="21"/>
      <c r="Y282" s="21"/>
      <c r="Z282" s="23"/>
      <c r="AA282" s="22"/>
      <c r="AB282" s="22"/>
      <c r="AC282" s="22"/>
      <c r="AD282" s="22"/>
      <c r="AE282" s="22"/>
      <c r="AF282" s="22"/>
      <c r="AG282" s="22"/>
      <c r="AH282" s="22"/>
      <c r="AI282" s="22"/>
      <c r="AJ282" s="22"/>
      <c r="AK282" s="22"/>
      <c r="AL282" s="22"/>
      <c r="AM282" s="22"/>
      <c r="AN282" s="22"/>
      <c r="AO282" s="22"/>
      <c r="AP282" s="21"/>
      <c r="AQ282" s="21"/>
      <c r="AR282" s="20"/>
      <c r="AS282" s="20"/>
      <c r="AT282" s="18"/>
      <c r="AU282" s="17"/>
      <c r="AV282" s="17"/>
      <c r="AW282" s="17"/>
      <c r="AX282" s="17"/>
      <c r="AY282" s="17"/>
      <c r="AZ282" s="17"/>
      <c r="BA282" s="17"/>
      <c r="BB282" s="17"/>
      <c r="BC282" s="17"/>
      <c r="BD282" s="17"/>
      <c r="BE282" s="17"/>
      <c r="BF282" s="17"/>
      <c r="BG282" s="16"/>
    </row>
    <row r="283" spans="1:59">
      <c r="A283" s="21"/>
      <c r="B283" s="21"/>
      <c r="C283" s="32"/>
      <c r="D283" s="21"/>
      <c r="E283" s="31"/>
      <c r="F283" s="30"/>
      <c r="G283" s="30"/>
      <c r="H283" s="29"/>
      <c r="I283" s="29"/>
      <c r="J283" s="29"/>
      <c r="K283" s="17"/>
      <c r="L283" s="47"/>
      <c r="M283" s="26"/>
      <c r="N283" s="25"/>
      <c r="O283" s="23"/>
      <c r="P283" s="23"/>
      <c r="Q283" s="23"/>
      <c r="R283" s="23"/>
      <c r="S283" s="23"/>
      <c r="T283" s="23"/>
      <c r="U283" s="23"/>
      <c r="V283" s="23"/>
      <c r="W283" s="23"/>
      <c r="X283" s="21"/>
      <c r="Y283" s="21"/>
      <c r="Z283" s="23"/>
      <c r="AA283" s="22"/>
      <c r="AB283" s="22"/>
      <c r="AC283" s="22"/>
      <c r="AD283" s="22"/>
      <c r="AE283" s="22"/>
      <c r="AF283" s="22"/>
      <c r="AG283" s="22"/>
      <c r="AH283" s="22"/>
      <c r="AI283" s="22"/>
      <c r="AJ283" s="22"/>
      <c r="AK283" s="22"/>
      <c r="AL283" s="22"/>
      <c r="AM283" s="22"/>
      <c r="AN283" s="22"/>
      <c r="AO283" s="22"/>
      <c r="AP283" s="21"/>
      <c r="AQ283" s="21"/>
      <c r="AR283" s="20"/>
      <c r="AS283" s="20"/>
      <c r="AT283" s="18"/>
      <c r="AU283" s="17"/>
      <c r="AV283" s="17"/>
      <c r="AW283" s="17"/>
      <c r="AX283" s="17"/>
      <c r="AY283" s="17"/>
      <c r="AZ283" s="17"/>
      <c r="BA283" s="17"/>
      <c r="BB283" s="17"/>
      <c r="BC283" s="17"/>
      <c r="BD283" s="17"/>
      <c r="BE283" s="17"/>
      <c r="BF283" s="17"/>
      <c r="BG283" s="16"/>
    </row>
    <row r="284" spans="1:59">
      <c r="A284" s="21"/>
      <c r="B284" s="21"/>
      <c r="C284" s="32"/>
      <c r="D284" s="21"/>
      <c r="E284" s="31"/>
      <c r="F284" s="30"/>
      <c r="G284" s="30"/>
      <c r="H284" s="29"/>
      <c r="I284" s="29"/>
      <c r="J284" s="29"/>
      <c r="K284" s="17"/>
      <c r="L284" s="47"/>
      <c r="M284" s="26"/>
      <c r="N284" s="25"/>
      <c r="O284" s="23"/>
      <c r="P284" s="23"/>
      <c r="Q284" s="23"/>
      <c r="R284" s="23"/>
      <c r="S284" s="23"/>
      <c r="T284" s="23"/>
      <c r="U284" s="23"/>
      <c r="V284" s="23"/>
      <c r="W284" s="23"/>
      <c r="X284" s="21"/>
      <c r="Y284" s="21"/>
      <c r="Z284" s="23"/>
      <c r="AA284" s="22"/>
      <c r="AB284" s="22"/>
      <c r="AC284" s="22"/>
      <c r="AD284" s="22"/>
      <c r="AE284" s="22"/>
      <c r="AF284" s="22"/>
      <c r="AG284" s="22"/>
      <c r="AH284" s="22"/>
      <c r="AI284" s="22"/>
      <c r="AJ284" s="22"/>
      <c r="AK284" s="22"/>
      <c r="AL284" s="22"/>
      <c r="AM284" s="22"/>
      <c r="AN284" s="22"/>
      <c r="AO284" s="22"/>
      <c r="AP284" s="21"/>
      <c r="AQ284" s="21"/>
      <c r="AR284" s="20"/>
      <c r="AS284" s="20"/>
      <c r="AT284" s="18"/>
      <c r="AU284" s="17"/>
      <c r="AV284" s="17"/>
      <c r="AW284" s="17"/>
      <c r="AX284" s="17"/>
      <c r="AY284" s="17"/>
      <c r="AZ284" s="17"/>
      <c r="BA284" s="17"/>
      <c r="BB284" s="17"/>
      <c r="BC284" s="17"/>
      <c r="BD284" s="17"/>
      <c r="BE284" s="17"/>
      <c r="BF284" s="17"/>
      <c r="BG284" s="16"/>
    </row>
    <row r="285" spans="1:59">
      <c r="A285" s="21"/>
      <c r="B285" s="21"/>
      <c r="C285" s="32"/>
      <c r="D285" s="21"/>
      <c r="E285" s="31"/>
      <c r="F285" s="30"/>
      <c r="G285" s="30"/>
      <c r="H285" s="29"/>
      <c r="I285" s="29"/>
      <c r="J285" s="29"/>
      <c r="K285" s="17"/>
      <c r="L285" s="47"/>
      <c r="M285" s="26"/>
      <c r="N285" s="25"/>
      <c r="O285" s="23"/>
      <c r="P285" s="23"/>
      <c r="Q285" s="23"/>
      <c r="R285" s="23"/>
      <c r="S285" s="23"/>
      <c r="T285" s="23"/>
      <c r="U285" s="23"/>
      <c r="V285" s="23"/>
      <c r="W285" s="23"/>
      <c r="X285" s="21"/>
      <c r="Y285" s="21"/>
      <c r="Z285" s="23"/>
      <c r="AA285" s="22"/>
      <c r="AB285" s="22"/>
      <c r="AC285" s="22"/>
      <c r="AD285" s="22"/>
      <c r="AE285" s="22"/>
      <c r="AF285" s="22"/>
      <c r="AG285" s="22"/>
      <c r="AH285" s="22"/>
      <c r="AI285" s="22"/>
      <c r="AJ285" s="22"/>
      <c r="AK285" s="22"/>
      <c r="AL285" s="22"/>
      <c r="AM285" s="22"/>
      <c r="AN285" s="22"/>
      <c r="AO285" s="22"/>
      <c r="AP285" s="21"/>
      <c r="AQ285" s="21"/>
      <c r="AR285" s="20"/>
      <c r="AS285" s="20"/>
      <c r="AT285" s="18"/>
      <c r="AU285" s="17"/>
      <c r="AV285" s="17"/>
      <c r="AW285" s="17"/>
      <c r="AX285" s="17"/>
      <c r="AY285" s="17"/>
      <c r="AZ285" s="17"/>
      <c r="BA285" s="17"/>
      <c r="BB285" s="17"/>
      <c r="BC285" s="17"/>
      <c r="BD285" s="17"/>
      <c r="BE285" s="17"/>
      <c r="BF285" s="17"/>
      <c r="BG285" s="16"/>
    </row>
    <row r="286" spans="1:59">
      <c r="A286" s="21"/>
      <c r="B286" s="21"/>
      <c r="C286" s="32"/>
      <c r="D286" s="21"/>
      <c r="E286" s="31"/>
      <c r="F286" s="30"/>
      <c r="G286" s="30"/>
      <c r="H286" s="29"/>
      <c r="I286" s="29"/>
      <c r="J286" s="29"/>
      <c r="K286" s="17"/>
      <c r="L286" s="47"/>
      <c r="M286" s="26"/>
      <c r="N286" s="25"/>
      <c r="O286" s="23"/>
      <c r="P286" s="23"/>
      <c r="Q286" s="23"/>
      <c r="R286" s="23"/>
      <c r="S286" s="23"/>
      <c r="T286" s="23"/>
      <c r="U286" s="23"/>
      <c r="V286" s="23"/>
      <c r="W286" s="23"/>
      <c r="X286" s="21"/>
      <c r="Y286" s="21"/>
      <c r="Z286" s="23"/>
      <c r="AA286" s="22"/>
      <c r="AB286" s="22"/>
      <c r="AC286" s="22"/>
      <c r="AD286" s="22"/>
      <c r="AE286" s="22"/>
      <c r="AF286" s="22"/>
      <c r="AG286" s="22"/>
      <c r="AH286" s="22"/>
      <c r="AI286" s="22"/>
      <c r="AJ286" s="22"/>
      <c r="AK286" s="22"/>
      <c r="AL286" s="22"/>
      <c r="AM286" s="22"/>
      <c r="AN286" s="22"/>
      <c r="AO286" s="22"/>
      <c r="AP286" s="21"/>
      <c r="AQ286" s="21"/>
      <c r="AR286" s="20"/>
      <c r="AS286" s="20"/>
      <c r="AT286" s="18"/>
      <c r="AU286" s="17"/>
      <c r="AV286" s="17"/>
      <c r="AW286" s="17"/>
      <c r="AX286" s="17"/>
      <c r="AY286" s="17"/>
      <c r="AZ286" s="17"/>
      <c r="BA286" s="17"/>
      <c r="BB286" s="17"/>
      <c r="BC286" s="17"/>
      <c r="BD286" s="17"/>
      <c r="BE286" s="17"/>
      <c r="BF286" s="17"/>
      <c r="BG286" s="16"/>
    </row>
    <row r="287" spans="1:59">
      <c r="A287" s="21"/>
      <c r="B287" s="21"/>
      <c r="C287" s="32"/>
      <c r="D287" s="21"/>
      <c r="E287" s="31"/>
      <c r="F287" s="30"/>
      <c r="G287" s="30"/>
      <c r="H287" s="29"/>
      <c r="I287" s="29"/>
      <c r="J287" s="29"/>
      <c r="K287" s="17"/>
      <c r="L287" s="47"/>
      <c r="M287" s="26"/>
      <c r="N287" s="25"/>
      <c r="O287" s="23"/>
      <c r="P287" s="23"/>
      <c r="Q287" s="23"/>
      <c r="R287" s="23"/>
      <c r="S287" s="23"/>
      <c r="T287" s="23"/>
      <c r="U287" s="23"/>
      <c r="V287" s="23"/>
      <c r="W287" s="23"/>
      <c r="X287" s="21"/>
      <c r="Y287" s="21"/>
      <c r="Z287" s="23"/>
      <c r="AA287" s="22"/>
      <c r="AB287" s="22"/>
      <c r="AC287" s="22"/>
      <c r="AD287" s="22"/>
      <c r="AE287" s="22"/>
      <c r="AF287" s="22"/>
      <c r="AG287" s="22"/>
      <c r="AH287" s="22"/>
      <c r="AI287" s="22"/>
      <c r="AJ287" s="22"/>
      <c r="AK287" s="22"/>
      <c r="AL287" s="22"/>
      <c r="AM287" s="22"/>
      <c r="AN287" s="22"/>
      <c r="AO287" s="22"/>
      <c r="AP287" s="21"/>
      <c r="AQ287" s="21"/>
      <c r="AR287" s="20"/>
      <c r="AS287" s="20"/>
      <c r="AT287" s="18"/>
      <c r="AU287" s="17"/>
      <c r="AV287" s="17"/>
      <c r="AW287" s="17"/>
      <c r="AX287" s="17"/>
      <c r="AY287" s="17"/>
      <c r="AZ287" s="17"/>
      <c r="BA287" s="17"/>
      <c r="BB287" s="17"/>
      <c r="BC287" s="17"/>
      <c r="BD287" s="17"/>
      <c r="BE287" s="17"/>
      <c r="BF287" s="17"/>
      <c r="BG287" s="16"/>
    </row>
    <row r="288" spans="1:59">
      <c r="A288" s="21"/>
      <c r="B288" s="21"/>
      <c r="C288" s="32"/>
      <c r="D288" s="21"/>
      <c r="E288" s="31"/>
      <c r="F288" s="30"/>
      <c r="G288" s="30"/>
      <c r="H288" s="29"/>
      <c r="I288" s="29"/>
      <c r="J288" s="29"/>
      <c r="K288" s="17"/>
      <c r="L288" s="47"/>
      <c r="M288" s="26"/>
      <c r="N288" s="25"/>
      <c r="O288" s="23"/>
      <c r="P288" s="23"/>
      <c r="Q288" s="23"/>
      <c r="R288" s="23"/>
      <c r="S288" s="23"/>
      <c r="T288" s="23"/>
      <c r="U288" s="23"/>
      <c r="V288" s="23"/>
      <c r="W288" s="23"/>
      <c r="X288" s="21"/>
      <c r="Y288" s="21"/>
      <c r="Z288" s="23"/>
      <c r="AA288" s="22"/>
      <c r="AB288" s="22"/>
      <c r="AC288" s="22"/>
      <c r="AD288" s="22"/>
      <c r="AE288" s="22"/>
      <c r="AF288" s="22"/>
      <c r="AG288" s="22"/>
      <c r="AH288" s="22"/>
      <c r="AI288" s="22"/>
      <c r="AJ288" s="22"/>
      <c r="AK288" s="22"/>
      <c r="AL288" s="22"/>
      <c r="AM288" s="22"/>
      <c r="AN288" s="22"/>
      <c r="AO288" s="22"/>
      <c r="AP288" s="21"/>
      <c r="AQ288" s="21"/>
      <c r="AR288" s="20"/>
      <c r="AS288" s="20"/>
      <c r="AT288" s="18"/>
      <c r="AU288" s="17"/>
      <c r="AV288" s="17"/>
      <c r="AW288" s="17"/>
      <c r="AX288" s="17"/>
      <c r="AY288" s="17"/>
      <c r="AZ288" s="17"/>
      <c r="BA288" s="17"/>
      <c r="BB288" s="17"/>
      <c r="BC288" s="17"/>
      <c r="BD288" s="17"/>
      <c r="BE288" s="17"/>
      <c r="BF288" s="17"/>
      <c r="BG288" s="16"/>
    </row>
    <row r="289" spans="1:59">
      <c r="A289" s="21"/>
      <c r="B289" s="21"/>
      <c r="C289" s="32"/>
      <c r="D289" s="21"/>
      <c r="E289" s="31"/>
      <c r="F289" s="30"/>
      <c r="G289" s="30"/>
      <c r="H289" s="29"/>
      <c r="I289" s="29"/>
      <c r="J289" s="29"/>
      <c r="K289" s="17"/>
      <c r="L289" s="47"/>
      <c r="M289" s="26"/>
      <c r="N289" s="25"/>
      <c r="O289" s="23"/>
      <c r="P289" s="23"/>
      <c r="Q289" s="23"/>
      <c r="R289" s="23"/>
      <c r="S289" s="23"/>
      <c r="T289" s="23"/>
      <c r="U289" s="23"/>
      <c r="V289" s="23"/>
      <c r="W289" s="23"/>
      <c r="X289" s="21"/>
      <c r="Y289" s="21"/>
      <c r="Z289" s="23"/>
      <c r="AA289" s="22"/>
      <c r="AB289" s="22"/>
      <c r="AC289" s="22"/>
      <c r="AD289" s="22"/>
      <c r="AE289" s="22"/>
      <c r="AF289" s="22"/>
      <c r="AG289" s="22"/>
      <c r="AH289" s="22"/>
      <c r="AI289" s="22"/>
      <c r="AJ289" s="22"/>
      <c r="AK289" s="22"/>
      <c r="AL289" s="22"/>
      <c r="AM289" s="22"/>
      <c r="AN289" s="22"/>
      <c r="AO289" s="22"/>
      <c r="AP289" s="21"/>
      <c r="AQ289" s="21"/>
      <c r="AR289" s="20"/>
      <c r="AS289" s="20"/>
      <c r="AT289" s="18"/>
      <c r="AU289" s="17"/>
      <c r="AV289" s="17"/>
      <c r="AW289" s="17"/>
      <c r="AX289" s="17"/>
      <c r="AY289" s="17"/>
      <c r="AZ289" s="17"/>
      <c r="BA289" s="17"/>
      <c r="BB289" s="17"/>
      <c r="BC289" s="17"/>
      <c r="BD289" s="17"/>
      <c r="BE289" s="17"/>
      <c r="BF289" s="17"/>
      <c r="BG289" s="16"/>
    </row>
    <row r="290" spans="1:59">
      <c r="A290" s="21"/>
      <c r="B290" s="21"/>
      <c r="C290" s="32"/>
      <c r="D290" s="21"/>
      <c r="E290" s="31"/>
      <c r="F290" s="30"/>
      <c r="G290" s="30"/>
      <c r="H290" s="29"/>
      <c r="I290" s="29"/>
      <c r="J290" s="29"/>
      <c r="K290" s="17"/>
      <c r="L290" s="47"/>
      <c r="M290" s="26"/>
      <c r="N290" s="25"/>
      <c r="O290" s="23"/>
      <c r="P290" s="23"/>
      <c r="Q290" s="23"/>
      <c r="R290" s="23"/>
      <c r="S290" s="23"/>
      <c r="T290" s="23"/>
      <c r="U290" s="23"/>
      <c r="V290" s="23"/>
      <c r="W290" s="23"/>
      <c r="X290" s="21"/>
      <c r="Y290" s="21"/>
      <c r="Z290" s="23"/>
      <c r="AA290" s="22"/>
      <c r="AB290" s="22"/>
      <c r="AC290" s="22"/>
      <c r="AD290" s="22"/>
      <c r="AE290" s="22"/>
      <c r="AF290" s="22"/>
      <c r="AG290" s="22"/>
      <c r="AH290" s="22"/>
      <c r="AI290" s="22"/>
      <c r="AJ290" s="22"/>
      <c r="AK290" s="22"/>
      <c r="AL290" s="22"/>
      <c r="AM290" s="22"/>
      <c r="AN290" s="22"/>
      <c r="AO290" s="22"/>
      <c r="AP290" s="21"/>
      <c r="AQ290" s="21"/>
      <c r="AR290" s="20"/>
      <c r="AS290" s="20"/>
      <c r="AT290" s="18"/>
      <c r="AU290" s="17"/>
      <c r="AV290" s="17"/>
      <c r="AW290" s="17"/>
      <c r="AX290" s="17"/>
      <c r="AY290" s="17"/>
      <c r="AZ290" s="17"/>
      <c r="BA290" s="17"/>
      <c r="BB290" s="17"/>
      <c r="BC290" s="17"/>
      <c r="BD290" s="17"/>
      <c r="BE290" s="17"/>
      <c r="BF290" s="17"/>
      <c r="BG290" s="16"/>
    </row>
    <row r="291" spans="1:59">
      <c r="A291" s="21"/>
      <c r="B291" s="21"/>
      <c r="C291" s="32"/>
      <c r="D291" s="21"/>
      <c r="E291" s="31"/>
      <c r="F291" s="30"/>
      <c r="G291" s="30"/>
      <c r="H291" s="29"/>
      <c r="I291" s="29"/>
      <c r="J291" s="29"/>
      <c r="K291" s="17"/>
      <c r="L291" s="47"/>
      <c r="M291" s="26"/>
      <c r="N291" s="25"/>
      <c r="O291" s="23"/>
      <c r="P291" s="23"/>
      <c r="Q291" s="23"/>
      <c r="R291" s="23"/>
      <c r="S291" s="23"/>
      <c r="T291" s="23"/>
      <c r="U291" s="23"/>
      <c r="V291" s="23"/>
      <c r="W291" s="23"/>
      <c r="X291" s="21"/>
      <c r="Y291" s="21"/>
      <c r="Z291" s="23"/>
      <c r="AA291" s="22"/>
      <c r="AB291" s="22"/>
      <c r="AC291" s="22"/>
      <c r="AD291" s="22"/>
      <c r="AE291" s="22"/>
      <c r="AF291" s="22"/>
      <c r="AG291" s="22"/>
      <c r="AH291" s="22"/>
      <c r="AI291" s="22"/>
      <c r="AJ291" s="22"/>
      <c r="AK291" s="22"/>
      <c r="AL291" s="22"/>
      <c r="AM291" s="22"/>
      <c r="AN291" s="22"/>
      <c r="AO291" s="22"/>
      <c r="AP291" s="21"/>
      <c r="AQ291" s="21"/>
      <c r="AR291" s="20"/>
      <c r="AS291" s="20"/>
      <c r="AT291" s="18"/>
      <c r="AU291" s="17"/>
      <c r="AV291" s="17"/>
      <c r="AW291" s="17"/>
      <c r="AX291" s="17"/>
      <c r="AY291" s="17"/>
      <c r="AZ291" s="17"/>
      <c r="BA291" s="17"/>
      <c r="BB291" s="17"/>
      <c r="BC291" s="17"/>
      <c r="BD291" s="17"/>
      <c r="BE291" s="17"/>
      <c r="BF291" s="17"/>
      <c r="BG291" s="16"/>
    </row>
    <row r="292" spans="1:59">
      <c r="A292" s="21"/>
      <c r="B292" s="21"/>
      <c r="C292" s="32"/>
      <c r="D292" s="21"/>
      <c r="E292" s="31"/>
      <c r="F292" s="30"/>
      <c r="G292" s="30"/>
      <c r="H292" s="29"/>
      <c r="I292" s="29"/>
      <c r="J292" s="29"/>
      <c r="K292" s="17"/>
      <c r="L292" s="47"/>
      <c r="M292" s="26"/>
      <c r="N292" s="25"/>
      <c r="O292" s="23"/>
      <c r="P292" s="23"/>
      <c r="Q292" s="23"/>
      <c r="R292" s="23"/>
      <c r="S292" s="23"/>
      <c r="T292" s="23"/>
      <c r="U292" s="23"/>
      <c r="V292" s="23"/>
      <c r="W292" s="23"/>
      <c r="X292" s="21"/>
      <c r="Y292" s="21"/>
      <c r="Z292" s="23"/>
      <c r="AA292" s="22"/>
      <c r="AB292" s="22"/>
      <c r="AC292" s="22"/>
      <c r="AD292" s="22"/>
      <c r="AE292" s="22"/>
      <c r="AF292" s="22"/>
      <c r="AG292" s="22"/>
      <c r="AH292" s="22"/>
      <c r="AI292" s="22"/>
      <c r="AJ292" s="22"/>
      <c r="AK292" s="22"/>
      <c r="AL292" s="22"/>
      <c r="AM292" s="22"/>
      <c r="AN292" s="22"/>
      <c r="AO292" s="22"/>
      <c r="AP292" s="21"/>
      <c r="AQ292" s="21"/>
      <c r="AR292" s="20"/>
      <c r="AS292" s="20"/>
      <c r="AT292" s="18"/>
      <c r="AU292" s="17"/>
      <c r="AV292" s="17"/>
      <c r="AW292" s="17"/>
      <c r="AX292" s="17"/>
      <c r="AY292" s="17"/>
      <c r="AZ292" s="17"/>
      <c r="BA292" s="17"/>
      <c r="BB292" s="17"/>
      <c r="BC292" s="17"/>
      <c r="BD292" s="17"/>
      <c r="BE292" s="17"/>
      <c r="BF292" s="17"/>
      <c r="BG292" s="16"/>
    </row>
    <row r="293" spans="1:59">
      <c r="A293" s="21"/>
      <c r="B293" s="21"/>
      <c r="C293" s="32"/>
      <c r="D293" s="21"/>
      <c r="E293" s="31"/>
      <c r="F293" s="30"/>
      <c r="G293" s="30"/>
      <c r="H293" s="29"/>
      <c r="I293" s="29"/>
      <c r="J293" s="29"/>
      <c r="K293" s="17"/>
      <c r="L293" s="47"/>
      <c r="M293" s="26"/>
      <c r="N293" s="25"/>
      <c r="O293" s="23"/>
      <c r="P293" s="23"/>
      <c r="Q293" s="23"/>
      <c r="R293" s="23"/>
      <c r="S293" s="23"/>
      <c r="T293" s="23"/>
      <c r="U293" s="23"/>
      <c r="V293" s="23"/>
      <c r="W293" s="23"/>
      <c r="X293" s="21"/>
      <c r="Y293" s="21"/>
      <c r="Z293" s="23"/>
      <c r="AA293" s="22"/>
      <c r="AB293" s="22"/>
      <c r="AC293" s="22"/>
      <c r="AD293" s="22"/>
      <c r="AE293" s="22"/>
      <c r="AF293" s="22"/>
      <c r="AG293" s="22"/>
      <c r="AH293" s="22"/>
      <c r="AI293" s="22"/>
      <c r="AJ293" s="22"/>
      <c r="AK293" s="22"/>
      <c r="AL293" s="22"/>
      <c r="AM293" s="22"/>
      <c r="AN293" s="22"/>
      <c r="AO293" s="22"/>
      <c r="AP293" s="21"/>
      <c r="AQ293" s="21"/>
      <c r="AR293" s="20"/>
      <c r="AS293" s="20"/>
      <c r="AT293" s="18"/>
      <c r="AU293" s="17"/>
      <c r="AV293" s="17"/>
      <c r="AW293" s="17"/>
      <c r="AX293" s="17"/>
      <c r="AY293" s="17"/>
      <c r="AZ293" s="17"/>
      <c r="BA293" s="17"/>
      <c r="BB293" s="17"/>
      <c r="BC293" s="17"/>
      <c r="BD293" s="17"/>
      <c r="BE293" s="17"/>
      <c r="BF293" s="17"/>
      <c r="BG293" s="16"/>
    </row>
    <row r="294" spans="1:59">
      <c r="A294" s="21"/>
      <c r="B294" s="21"/>
      <c r="C294" s="32"/>
      <c r="D294" s="21"/>
      <c r="E294" s="31"/>
      <c r="F294" s="30"/>
      <c r="G294" s="30"/>
      <c r="H294" s="29"/>
      <c r="I294" s="29"/>
      <c r="J294" s="29"/>
      <c r="K294" s="17"/>
      <c r="L294" s="47"/>
      <c r="M294" s="26"/>
      <c r="N294" s="25"/>
      <c r="O294" s="23"/>
      <c r="P294" s="23"/>
      <c r="Q294" s="23"/>
      <c r="R294" s="23"/>
      <c r="S294" s="23"/>
      <c r="T294" s="23"/>
      <c r="U294" s="23"/>
      <c r="V294" s="23"/>
      <c r="W294" s="23"/>
      <c r="X294" s="21"/>
      <c r="Y294" s="21"/>
      <c r="Z294" s="23"/>
      <c r="AA294" s="22"/>
      <c r="AB294" s="22"/>
      <c r="AC294" s="22"/>
      <c r="AD294" s="22"/>
      <c r="AE294" s="22"/>
      <c r="AF294" s="22"/>
      <c r="AG294" s="22"/>
      <c r="AH294" s="22"/>
      <c r="AI294" s="22"/>
      <c r="AJ294" s="22"/>
      <c r="AK294" s="22"/>
      <c r="AL294" s="22"/>
      <c r="AM294" s="22"/>
      <c r="AN294" s="22"/>
      <c r="AO294" s="22"/>
      <c r="AP294" s="21"/>
      <c r="AQ294" s="21"/>
      <c r="AR294" s="20"/>
      <c r="AS294" s="20"/>
      <c r="AT294" s="18"/>
      <c r="AU294" s="17"/>
      <c r="AV294" s="17"/>
      <c r="AW294" s="17"/>
      <c r="AX294" s="17"/>
      <c r="AY294" s="17"/>
      <c r="AZ294" s="17"/>
      <c r="BA294" s="17"/>
      <c r="BB294" s="17"/>
      <c r="BC294" s="17"/>
      <c r="BD294" s="17"/>
      <c r="BE294" s="17"/>
      <c r="BF294" s="17"/>
      <c r="BG294" s="16"/>
    </row>
    <row r="295" spans="1:59">
      <c r="A295" s="37"/>
      <c r="B295" s="37"/>
      <c r="C295" s="46"/>
      <c r="D295" s="37"/>
      <c r="E295" s="45"/>
      <c r="F295" s="44"/>
      <c r="G295" s="44"/>
      <c r="H295" s="43"/>
      <c r="I295" s="43"/>
      <c r="J295" s="43"/>
      <c r="K295" s="28"/>
      <c r="L295" s="27"/>
      <c r="M295" s="42"/>
      <c r="N295" s="41"/>
      <c r="O295" s="39"/>
      <c r="P295" s="39"/>
      <c r="Q295" s="39"/>
      <c r="R295" s="39"/>
      <c r="S295" s="39"/>
      <c r="T295" s="39"/>
      <c r="U295" s="39"/>
      <c r="V295" s="39"/>
      <c r="W295" s="39"/>
      <c r="X295" s="40"/>
      <c r="Y295" s="37"/>
      <c r="Z295" s="39"/>
      <c r="AA295" s="38"/>
      <c r="AB295" s="38"/>
      <c r="AC295" s="38"/>
      <c r="AD295" s="38"/>
      <c r="AE295" s="38"/>
      <c r="AF295" s="38"/>
      <c r="AG295" s="38"/>
      <c r="AH295" s="38"/>
      <c r="AI295" s="38"/>
      <c r="AJ295" s="38"/>
      <c r="AK295" s="38"/>
      <c r="AL295" s="38"/>
      <c r="AM295" s="38"/>
      <c r="AN295" s="38"/>
      <c r="AO295" s="38"/>
      <c r="AP295" s="37"/>
      <c r="AR295" s="36"/>
      <c r="AS295" s="35"/>
      <c r="AT295" s="34"/>
      <c r="AU295" s="28"/>
      <c r="AV295" s="28"/>
      <c r="AW295" s="28"/>
      <c r="AX295" s="28"/>
      <c r="AY295" s="28"/>
      <c r="AZ295" s="28"/>
      <c r="BA295" s="28"/>
      <c r="BB295" s="28"/>
      <c r="BC295" s="28"/>
      <c r="BD295" s="28"/>
      <c r="BE295" s="28"/>
      <c r="BF295" s="28"/>
      <c r="BG295" s="33"/>
    </row>
    <row r="296" spans="1:59">
      <c r="A296" s="21"/>
      <c r="B296" s="21"/>
      <c r="C296" s="32"/>
      <c r="D296" s="21"/>
      <c r="E296" s="31"/>
      <c r="F296" s="30"/>
      <c r="G296" s="30"/>
      <c r="H296" s="29"/>
      <c r="I296" s="29"/>
      <c r="J296" s="29"/>
      <c r="K296" s="28"/>
      <c r="L296" s="27"/>
      <c r="M296" s="26"/>
      <c r="N296" s="25"/>
      <c r="O296" s="23"/>
      <c r="P296" s="23"/>
      <c r="Q296" s="23"/>
      <c r="R296" s="23"/>
      <c r="S296" s="23"/>
      <c r="T296" s="23"/>
      <c r="U296" s="23"/>
      <c r="V296" s="23"/>
      <c r="W296" s="23"/>
      <c r="X296" s="24"/>
      <c r="Y296" s="21"/>
      <c r="Z296" s="23"/>
      <c r="AA296" s="22"/>
      <c r="AB296" s="22"/>
      <c r="AC296" s="22"/>
      <c r="AD296" s="22"/>
      <c r="AE296" s="22"/>
      <c r="AF296" s="22"/>
      <c r="AG296" s="22"/>
      <c r="AH296" s="22"/>
      <c r="AI296" s="22"/>
      <c r="AJ296" s="22"/>
      <c r="AK296" s="22"/>
      <c r="AL296" s="22"/>
      <c r="AM296" s="22"/>
      <c r="AN296" s="22"/>
      <c r="AO296" s="22"/>
      <c r="AP296" s="21"/>
      <c r="AR296" s="20"/>
      <c r="AS296" s="19"/>
      <c r="AT296" s="18"/>
      <c r="AU296" s="17"/>
      <c r="AV296" s="17"/>
      <c r="AW296" s="17"/>
      <c r="AX296" s="17"/>
      <c r="AY296" s="17"/>
      <c r="AZ296" s="17"/>
      <c r="BA296" s="17"/>
      <c r="BB296" s="17"/>
      <c r="BC296" s="17"/>
      <c r="BD296" s="17"/>
      <c r="BE296" s="17"/>
      <c r="BF296" s="17"/>
      <c r="BG296" s="16"/>
    </row>
    <row r="297" spans="1:59">
      <c r="A297" s="21"/>
      <c r="B297" s="21"/>
      <c r="C297" s="32"/>
      <c r="D297" s="21"/>
      <c r="E297" s="31"/>
      <c r="F297" s="30"/>
      <c r="G297" s="30"/>
      <c r="H297" s="29"/>
      <c r="I297" s="29"/>
      <c r="J297" s="29"/>
      <c r="K297" s="28"/>
      <c r="L297" s="27"/>
      <c r="M297" s="26"/>
      <c r="N297" s="25"/>
      <c r="O297" s="23"/>
      <c r="P297" s="23"/>
      <c r="Q297" s="23"/>
      <c r="R297" s="23"/>
      <c r="S297" s="23"/>
      <c r="T297" s="23"/>
      <c r="U297" s="23"/>
      <c r="V297" s="23"/>
      <c r="W297" s="23"/>
      <c r="X297" s="24"/>
      <c r="Y297" s="21"/>
      <c r="Z297" s="23"/>
      <c r="AA297" s="22"/>
      <c r="AB297" s="22"/>
      <c r="AC297" s="22"/>
      <c r="AD297" s="22"/>
      <c r="AE297" s="22"/>
      <c r="AF297" s="22"/>
      <c r="AG297" s="22"/>
      <c r="AH297" s="22"/>
      <c r="AI297" s="22"/>
      <c r="AJ297" s="22"/>
      <c r="AK297" s="22"/>
      <c r="AL297" s="22"/>
      <c r="AM297" s="22"/>
      <c r="AN297" s="22"/>
      <c r="AO297" s="22"/>
      <c r="AP297" s="21"/>
      <c r="AR297" s="20"/>
      <c r="AS297" s="19"/>
      <c r="AT297" s="18"/>
      <c r="AU297" s="17"/>
      <c r="AV297" s="17"/>
      <c r="AW297" s="17"/>
      <c r="AX297" s="17"/>
      <c r="AY297" s="17"/>
      <c r="AZ297" s="17"/>
      <c r="BA297" s="17"/>
      <c r="BB297" s="17"/>
      <c r="BC297" s="17"/>
      <c r="BD297" s="17"/>
      <c r="BE297" s="17"/>
      <c r="BF297" s="17"/>
      <c r="BG297" s="16"/>
    </row>
    <row r="298" spans="1:59">
      <c r="A298" s="21"/>
      <c r="B298" s="21"/>
      <c r="C298" s="32"/>
      <c r="D298" s="21"/>
      <c r="E298" s="31"/>
      <c r="F298" s="30"/>
      <c r="G298" s="30"/>
      <c r="H298" s="29"/>
      <c r="I298" s="29"/>
      <c r="J298" s="29"/>
      <c r="K298" s="28"/>
      <c r="L298" s="27"/>
      <c r="M298" s="26"/>
      <c r="N298" s="25"/>
      <c r="O298" s="23"/>
      <c r="P298" s="23"/>
      <c r="Q298" s="23"/>
      <c r="R298" s="23"/>
      <c r="S298" s="23"/>
      <c r="T298" s="23"/>
      <c r="U298" s="23"/>
      <c r="V298" s="23"/>
      <c r="W298" s="23"/>
      <c r="X298" s="24"/>
      <c r="Y298" s="21"/>
      <c r="Z298" s="23"/>
      <c r="AA298" s="22"/>
      <c r="AB298" s="22"/>
      <c r="AC298" s="22"/>
      <c r="AD298" s="22"/>
      <c r="AE298" s="22"/>
      <c r="AF298" s="22"/>
      <c r="AG298" s="22"/>
      <c r="AH298" s="22"/>
      <c r="AI298" s="22"/>
      <c r="AJ298" s="22"/>
      <c r="AK298" s="22"/>
      <c r="AL298" s="22"/>
      <c r="AM298" s="22"/>
      <c r="AN298" s="22"/>
      <c r="AO298" s="22"/>
      <c r="AP298" s="21"/>
      <c r="AR298" s="20"/>
      <c r="AS298" s="19"/>
      <c r="AT298" s="18"/>
      <c r="AU298" s="17"/>
      <c r="AV298" s="17"/>
      <c r="AW298" s="17"/>
      <c r="AX298" s="17"/>
      <c r="AY298" s="17"/>
      <c r="AZ298" s="17"/>
      <c r="BA298" s="17"/>
      <c r="BB298" s="17"/>
      <c r="BC298" s="17"/>
      <c r="BD298" s="17"/>
      <c r="BE298" s="17"/>
      <c r="BF298" s="17"/>
      <c r="BG298" s="16"/>
    </row>
    <row r="299" spans="1:59">
      <c r="A299" s="21"/>
      <c r="B299" s="21"/>
      <c r="C299" s="32"/>
      <c r="D299" s="21"/>
      <c r="E299" s="31"/>
      <c r="F299" s="30"/>
      <c r="G299" s="30"/>
      <c r="H299" s="29"/>
      <c r="I299" s="29"/>
      <c r="J299" s="29"/>
      <c r="K299" s="28"/>
      <c r="L299" s="27"/>
      <c r="M299" s="26"/>
      <c r="N299" s="25"/>
      <c r="O299" s="23"/>
      <c r="P299" s="23"/>
      <c r="Q299" s="23"/>
      <c r="R299" s="23"/>
      <c r="S299" s="23"/>
      <c r="T299" s="23"/>
      <c r="U299" s="23"/>
      <c r="V299" s="23"/>
      <c r="W299" s="23"/>
      <c r="X299" s="24"/>
      <c r="Y299" s="21"/>
      <c r="Z299" s="23"/>
      <c r="AA299" s="22"/>
      <c r="AB299" s="22"/>
      <c r="AC299" s="22"/>
      <c r="AD299" s="22"/>
      <c r="AE299" s="22"/>
      <c r="AF299" s="22"/>
      <c r="AG299" s="22"/>
      <c r="AH299" s="22"/>
      <c r="AI299" s="22"/>
      <c r="AJ299" s="22"/>
      <c r="AK299" s="22"/>
      <c r="AL299" s="22"/>
      <c r="AM299" s="22"/>
      <c r="AN299" s="22"/>
      <c r="AO299" s="22"/>
      <c r="AP299" s="21"/>
      <c r="AR299" s="20"/>
      <c r="AS299" s="19"/>
      <c r="AT299" s="18"/>
      <c r="AU299" s="17"/>
      <c r="AV299" s="17"/>
      <c r="AW299" s="17"/>
      <c r="AX299" s="17"/>
      <c r="AY299" s="17"/>
      <c r="AZ299" s="17"/>
      <c r="BA299" s="17"/>
      <c r="BB299" s="17"/>
      <c r="BC299" s="17"/>
      <c r="BD299" s="17"/>
      <c r="BE299" s="17"/>
      <c r="BF299" s="17"/>
      <c r="BG299" s="16"/>
    </row>
    <row r="300" spans="1:59">
      <c r="A300" s="21"/>
      <c r="B300" s="21"/>
      <c r="C300" s="32"/>
      <c r="D300" s="21"/>
      <c r="E300" s="31"/>
      <c r="F300" s="30"/>
      <c r="G300" s="30"/>
      <c r="H300" s="29"/>
      <c r="I300" s="29"/>
      <c r="J300" s="29"/>
      <c r="K300" s="28"/>
      <c r="L300" s="27"/>
      <c r="M300" s="26"/>
      <c r="N300" s="25"/>
      <c r="O300" s="23"/>
      <c r="P300" s="23"/>
      <c r="Q300" s="23"/>
      <c r="R300" s="23"/>
      <c r="S300" s="23"/>
      <c r="T300" s="23"/>
      <c r="U300" s="23"/>
      <c r="V300" s="23"/>
      <c r="W300" s="23"/>
      <c r="X300" s="24"/>
      <c r="Y300" s="21"/>
      <c r="Z300" s="23"/>
      <c r="AA300" s="22"/>
      <c r="AB300" s="22"/>
      <c r="AC300" s="22"/>
      <c r="AD300" s="22"/>
      <c r="AE300" s="22"/>
      <c r="AF300" s="22"/>
      <c r="AG300" s="22"/>
      <c r="AH300" s="22"/>
      <c r="AI300" s="22"/>
      <c r="AJ300" s="22"/>
      <c r="AK300" s="22"/>
      <c r="AL300" s="22"/>
      <c r="AM300" s="22"/>
      <c r="AN300" s="22"/>
      <c r="AO300" s="22"/>
      <c r="AP300" s="21"/>
      <c r="AR300" s="20"/>
      <c r="AS300" s="19"/>
      <c r="AT300" s="18"/>
      <c r="AU300" s="17"/>
      <c r="AV300" s="17"/>
      <c r="AW300" s="17"/>
      <c r="AX300" s="17"/>
      <c r="AY300" s="17"/>
      <c r="AZ300" s="17"/>
      <c r="BA300" s="17"/>
      <c r="BB300" s="17"/>
      <c r="BC300" s="17"/>
      <c r="BD300" s="17"/>
      <c r="BE300" s="17"/>
      <c r="BF300" s="17"/>
      <c r="BG300" s="16"/>
    </row>
    <row r="301" spans="1:59">
      <c r="A301" s="21"/>
      <c r="B301" s="21"/>
      <c r="C301" s="32"/>
      <c r="D301" s="21"/>
      <c r="E301" s="31"/>
      <c r="F301" s="30"/>
      <c r="G301" s="30"/>
      <c r="H301" s="29"/>
      <c r="I301" s="29"/>
      <c r="J301" s="29"/>
      <c r="K301" s="28"/>
      <c r="L301" s="27"/>
      <c r="M301" s="26"/>
      <c r="N301" s="25"/>
      <c r="O301" s="23"/>
      <c r="P301" s="23"/>
      <c r="Q301" s="23"/>
      <c r="R301" s="23"/>
      <c r="S301" s="23"/>
      <c r="T301" s="23"/>
      <c r="U301" s="23"/>
      <c r="V301" s="23"/>
      <c r="W301" s="23"/>
      <c r="X301" s="24"/>
      <c r="Y301" s="21"/>
      <c r="Z301" s="23"/>
      <c r="AA301" s="22"/>
      <c r="AB301" s="22"/>
      <c r="AC301" s="22"/>
      <c r="AD301" s="22"/>
      <c r="AE301" s="22"/>
      <c r="AF301" s="22"/>
      <c r="AG301" s="22"/>
      <c r="AH301" s="22"/>
      <c r="AI301" s="22"/>
      <c r="AJ301" s="22"/>
      <c r="AK301" s="22"/>
      <c r="AL301" s="22"/>
      <c r="AM301" s="22"/>
      <c r="AN301" s="22"/>
      <c r="AO301" s="22"/>
      <c r="AP301" s="21"/>
      <c r="AR301" s="20"/>
      <c r="AS301" s="19"/>
      <c r="AT301" s="18"/>
      <c r="AU301" s="17"/>
      <c r="AV301" s="17"/>
      <c r="AW301" s="17"/>
      <c r="AX301" s="17"/>
      <c r="AY301" s="17"/>
      <c r="AZ301" s="17"/>
      <c r="BA301" s="17"/>
      <c r="BB301" s="17"/>
      <c r="BC301" s="17"/>
      <c r="BD301" s="17"/>
      <c r="BE301" s="17"/>
      <c r="BF301" s="17"/>
      <c r="BG301" s="16"/>
    </row>
    <row r="302" spans="1:59">
      <c r="A302" s="21"/>
      <c r="B302" s="21"/>
      <c r="C302" s="32"/>
      <c r="D302" s="21"/>
      <c r="E302" s="31"/>
      <c r="F302" s="30"/>
      <c r="G302" s="30"/>
      <c r="H302" s="29"/>
      <c r="I302" s="29"/>
      <c r="J302" s="29"/>
      <c r="K302" s="28"/>
      <c r="L302" s="27"/>
      <c r="M302" s="26"/>
      <c r="N302" s="25"/>
      <c r="O302" s="23"/>
      <c r="P302" s="23"/>
      <c r="Q302" s="23"/>
      <c r="R302" s="23"/>
      <c r="S302" s="23"/>
      <c r="T302" s="23"/>
      <c r="U302" s="23"/>
      <c r="V302" s="23"/>
      <c r="W302" s="23"/>
      <c r="X302" s="24"/>
      <c r="Y302" s="21"/>
      <c r="Z302" s="23"/>
      <c r="AA302" s="22"/>
      <c r="AB302" s="22"/>
      <c r="AC302" s="22"/>
      <c r="AD302" s="22"/>
      <c r="AE302" s="22"/>
      <c r="AF302" s="22"/>
      <c r="AG302" s="22"/>
      <c r="AH302" s="22"/>
      <c r="AI302" s="22"/>
      <c r="AJ302" s="22"/>
      <c r="AK302" s="22"/>
      <c r="AL302" s="22"/>
      <c r="AM302" s="22"/>
      <c r="AN302" s="22"/>
      <c r="AO302" s="22"/>
      <c r="AP302" s="21"/>
      <c r="AR302" s="20"/>
      <c r="AS302" s="19"/>
      <c r="AT302" s="18"/>
      <c r="AU302" s="17"/>
      <c r="AV302" s="17"/>
      <c r="AW302" s="17"/>
      <c r="AX302" s="17"/>
      <c r="AY302" s="17"/>
      <c r="AZ302" s="17"/>
      <c r="BA302" s="17"/>
      <c r="BB302" s="17"/>
      <c r="BC302" s="17"/>
      <c r="BD302" s="17"/>
      <c r="BE302" s="17"/>
      <c r="BF302" s="17"/>
      <c r="BG302" s="16"/>
    </row>
    <row r="303" spans="1:59">
      <c r="A303" s="21"/>
      <c r="B303" s="21"/>
      <c r="C303" s="32"/>
      <c r="D303" s="21"/>
      <c r="E303" s="31"/>
      <c r="F303" s="30"/>
      <c r="G303" s="30"/>
      <c r="H303" s="29"/>
      <c r="I303" s="29"/>
      <c r="J303" s="29"/>
      <c r="K303" s="28"/>
      <c r="L303" s="27"/>
      <c r="M303" s="26"/>
      <c r="N303" s="25"/>
      <c r="O303" s="23"/>
      <c r="P303" s="23"/>
      <c r="Q303" s="23"/>
      <c r="R303" s="23"/>
      <c r="S303" s="23"/>
      <c r="T303" s="23"/>
      <c r="U303" s="23"/>
      <c r="V303" s="23"/>
      <c r="W303" s="23"/>
      <c r="X303" s="24"/>
      <c r="Y303" s="21"/>
      <c r="Z303" s="23"/>
      <c r="AA303" s="22"/>
      <c r="AB303" s="22"/>
      <c r="AC303" s="22"/>
      <c r="AD303" s="22"/>
      <c r="AE303" s="22"/>
      <c r="AF303" s="22"/>
      <c r="AG303" s="22"/>
      <c r="AH303" s="22"/>
      <c r="AI303" s="22"/>
      <c r="AJ303" s="22"/>
      <c r="AK303" s="22"/>
      <c r="AL303" s="22"/>
      <c r="AM303" s="22"/>
      <c r="AN303" s="22"/>
      <c r="AO303" s="22"/>
      <c r="AP303" s="21"/>
      <c r="AR303" s="20"/>
      <c r="AS303" s="19"/>
      <c r="AT303" s="18"/>
      <c r="AU303" s="17"/>
      <c r="AV303" s="17"/>
      <c r="AW303" s="17"/>
      <c r="AX303" s="17"/>
      <c r="AY303" s="17"/>
      <c r="AZ303" s="17"/>
      <c r="BA303" s="17"/>
      <c r="BB303" s="17"/>
      <c r="BC303" s="17"/>
      <c r="BD303" s="17"/>
      <c r="BE303" s="17"/>
      <c r="BF303" s="17"/>
      <c r="BG303" s="16"/>
    </row>
    <row r="304" spans="1:59">
      <c r="A304" s="21"/>
      <c r="B304" s="21"/>
      <c r="C304" s="32"/>
      <c r="D304" s="21"/>
      <c r="E304" s="31"/>
      <c r="F304" s="30"/>
      <c r="G304" s="30"/>
      <c r="H304" s="29"/>
      <c r="I304" s="29"/>
      <c r="J304" s="29"/>
      <c r="K304" s="28"/>
      <c r="L304" s="27"/>
      <c r="M304" s="26"/>
      <c r="N304" s="25"/>
      <c r="O304" s="23"/>
      <c r="P304" s="23"/>
      <c r="Q304" s="23"/>
      <c r="R304" s="23"/>
      <c r="S304" s="23"/>
      <c r="T304" s="23"/>
      <c r="U304" s="23"/>
      <c r="V304" s="23"/>
      <c r="W304" s="23"/>
      <c r="X304" s="24"/>
      <c r="Y304" s="21"/>
      <c r="Z304" s="23"/>
      <c r="AA304" s="22"/>
      <c r="AB304" s="22"/>
      <c r="AC304" s="22"/>
      <c r="AD304" s="22"/>
      <c r="AE304" s="22"/>
      <c r="AF304" s="22"/>
      <c r="AG304" s="22"/>
      <c r="AH304" s="22"/>
      <c r="AI304" s="22"/>
      <c r="AJ304" s="22"/>
      <c r="AK304" s="22"/>
      <c r="AL304" s="22"/>
      <c r="AM304" s="22"/>
      <c r="AN304" s="22"/>
      <c r="AO304" s="22"/>
      <c r="AP304" s="21"/>
      <c r="AR304" s="20"/>
      <c r="AS304" s="19"/>
      <c r="AT304" s="18"/>
      <c r="AU304" s="17"/>
      <c r="AV304" s="17"/>
      <c r="AW304" s="17"/>
      <c r="AX304" s="17"/>
      <c r="AY304" s="17"/>
      <c r="AZ304" s="17"/>
      <c r="BA304" s="17"/>
      <c r="BB304" s="17"/>
      <c r="BC304" s="17"/>
      <c r="BD304" s="17"/>
      <c r="BE304" s="17"/>
      <c r="BF304" s="17"/>
      <c r="BG304" s="16"/>
    </row>
    <row r="305" spans="1:59">
      <c r="A305" s="21"/>
      <c r="B305" s="21"/>
      <c r="C305" s="32"/>
      <c r="D305" s="21"/>
      <c r="E305" s="31"/>
      <c r="F305" s="30"/>
      <c r="G305" s="30"/>
      <c r="H305" s="29"/>
      <c r="I305" s="29"/>
      <c r="J305" s="29"/>
      <c r="K305" s="28"/>
      <c r="L305" s="27"/>
      <c r="M305" s="26"/>
      <c r="N305" s="25"/>
      <c r="O305" s="23"/>
      <c r="P305" s="23"/>
      <c r="Q305" s="23"/>
      <c r="R305" s="23"/>
      <c r="S305" s="23"/>
      <c r="T305" s="23"/>
      <c r="U305" s="23"/>
      <c r="V305" s="23"/>
      <c r="W305" s="23"/>
      <c r="X305" s="24"/>
      <c r="Y305" s="21"/>
      <c r="Z305" s="23"/>
      <c r="AA305" s="22"/>
      <c r="AB305" s="22"/>
      <c r="AC305" s="22"/>
      <c r="AD305" s="22"/>
      <c r="AE305" s="22"/>
      <c r="AF305" s="22"/>
      <c r="AG305" s="22"/>
      <c r="AH305" s="22"/>
      <c r="AI305" s="22"/>
      <c r="AJ305" s="22"/>
      <c r="AK305" s="22"/>
      <c r="AL305" s="22"/>
      <c r="AM305" s="22"/>
      <c r="AN305" s="22"/>
      <c r="AO305" s="22"/>
      <c r="AP305" s="21"/>
      <c r="AR305" s="20"/>
      <c r="AS305" s="19"/>
      <c r="AT305" s="18"/>
      <c r="AU305" s="17"/>
      <c r="AV305" s="17"/>
      <c r="AW305" s="17"/>
      <c r="AX305" s="17"/>
      <c r="AY305" s="17"/>
      <c r="AZ305" s="17"/>
      <c r="BA305" s="17"/>
      <c r="BB305" s="17"/>
      <c r="BC305" s="17"/>
      <c r="BD305" s="17"/>
      <c r="BE305" s="17"/>
      <c r="BF305" s="17"/>
      <c r="BG305" s="16"/>
    </row>
    <row r="306" spans="1:59">
      <c r="A306" s="21"/>
      <c r="B306" s="21"/>
      <c r="C306" s="32"/>
      <c r="D306" s="21"/>
      <c r="E306" s="31"/>
      <c r="F306" s="30"/>
      <c r="G306" s="30"/>
      <c r="H306" s="29"/>
      <c r="I306" s="29"/>
      <c r="J306" s="29"/>
      <c r="K306" s="28"/>
      <c r="L306" s="27"/>
      <c r="M306" s="26"/>
      <c r="N306" s="25"/>
      <c r="O306" s="23"/>
      <c r="P306" s="23"/>
      <c r="Q306" s="23"/>
      <c r="R306" s="23"/>
      <c r="S306" s="23"/>
      <c r="T306" s="23"/>
      <c r="U306" s="23"/>
      <c r="V306" s="23"/>
      <c r="W306" s="23"/>
      <c r="X306" s="24"/>
      <c r="Y306" s="21"/>
      <c r="Z306" s="23"/>
      <c r="AA306" s="22"/>
      <c r="AB306" s="22"/>
      <c r="AC306" s="22"/>
      <c r="AD306" s="22"/>
      <c r="AE306" s="22"/>
      <c r="AF306" s="22"/>
      <c r="AG306" s="22"/>
      <c r="AH306" s="22"/>
      <c r="AI306" s="22"/>
      <c r="AJ306" s="22"/>
      <c r="AK306" s="22"/>
      <c r="AL306" s="22"/>
      <c r="AM306" s="22"/>
      <c r="AN306" s="22"/>
      <c r="AO306" s="22"/>
      <c r="AP306" s="21"/>
      <c r="AR306" s="20"/>
      <c r="AS306" s="19"/>
      <c r="AT306" s="18"/>
      <c r="AU306" s="17"/>
      <c r="AV306" s="17"/>
      <c r="AW306" s="17"/>
      <c r="AX306" s="17"/>
      <c r="AY306" s="17"/>
      <c r="AZ306" s="17"/>
      <c r="BA306" s="17"/>
      <c r="BB306" s="17"/>
      <c r="BC306" s="17"/>
      <c r="BD306" s="17"/>
      <c r="BE306" s="17"/>
      <c r="BF306" s="17"/>
      <c r="BG306" s="16"/>
    </row>
    <row r="307" spans="1:59">
      <c r="A307" s="21"/>
      <c r="B307" s="21"/>
      <c r="C307" s="32"/>
      <c r="D307" s="21"/>
      <c r="E307" s="31"/>
      <c r="F307" s="30"/>
      <c r="G307" s="30"/>
      <c r="H307" s="29"/>
      <c r="I307" s="29"/>
      <c r="J307" s="29"/>
      <c r="K307" s="28"/>
      <c r="L307" s="27"/>
      <c r="M307" s="26"/>
      <c r="N307" s="25"/>
      <c r="O307" s="23"/>
      <c r="P307" s="23"/>
      <c r="Q307" s="23"/>
      <c r="R307" s="23"/>
      <c r="S307" s="23"/>
      <c r="T307" s="23"/>
      <c r="U307" s="23"/>
      <c r="V307" s="23"/>
      <c r="W307" s="23"/>
      <c r="X307" s="24"/>
      <c r="Y307" s="21"/>
      <c r="Z307" s="23"/>
      <c r="AA307" s="22"/>
      <c r="AB307" s="22"/>
      <c r="AC307" s="22"/>
      <c r="AD307" s="22"/>
      <c r="AE307" s="22"/>
      <c r="AF307" s="22"/>
      <c r="AG307" s="22"/>
      <c r="AH307" s="22"/>
      <c r="AI307" s="22"/>
      <c r="AJ307" s="22"/>
      <c r="AK307" s="22"/>
      <c r="AL307" s="22"/>
      <c r="AM307" s="22"/>
      <c r="AN307" s="22"/>
      <c r="AO307" s="22"/>
      <c r="AP307" s="21"/>
      <c r="AR307" s="20"/>
      <c r="AS307" s="19"/>
      <c r="AT307" s="18"/>
      <c r="AU307" s="17"/>
      <c r="AV307" s="17"/>
      <c r="AW307" s="17"/>
      <c r="AX307" s="17"/>
      <c r="AY307" s="17"/>
      <c r="AZ307" s="17"/>
      <c r="BA307" s="17"/>
      <c r="BB307" s="17"/>
      <c r="BC307" s="17"/>
      <c r="BD307" s="17"/>
      <c r="BE307" s="17"/>
      <c r="BF307" s="17"/>
      <c r="BG307" s="16"/>
    </row>
    <row r="308" spans="1:59">
      <c r="A308" s="21"/>
      <c r="B308" s="21"/>
      <c r="C308" s="32"/>
      <c r="D308" s="21"/>
      <c r="E308" s="31"/>
      <c r="F308" s="30"/>
      <c r="G308" s="30"/>
      <c r="H308" s="29"/>
      <c r="I308" s="29"/>
      <c r="J308" s="29"/>
      <c r="K308" s="28"/>
      <c r="L308" s="27"/>
      <c r="M308" s="26"/>
      <c r="N308" s="25"/>
      <c r="O308" s="23"/>
      <c r="P308" s="23"/>
      <c r="Q308" s="23"/>
      <c r="R308" s="23"/>
      <c r="S308" s="23"/>
      <c r="T308" s="23"/>
      <c r="U308" s="23"/>
      <c r="V308" s="23"/>
      <c r="W308" s="23"/>
      <c r="X308" s="24"/>
      <c r="Y308" s="21"/>
      <c r="Z308" s="23"/>
      <c r="AA308" s="22"/>
      <c r="AB308" s="22"/>
      <c r="AC308" s="22"/>
      <c r="AD308" s="22"/>
      <c r="AE308" s="22"/>
      <c r="AF308" s="22"/>
      <c r="AG308" s="22"/>
      <c r="AH308" s="22"/>
      <c r="AI308" s="22"/>
      <c r="AJ308" s="22"/>
      <c r="AK308" s="22"/>
      <c r="AL308" s="22"/>
      <c r="AM308" s="22"/>
      <c r="AN308" s="22"/>
      <c r="AO308" s="22"/>
      <c r="AP308" s="21"/>
      <c r="AR308" s="20"/>
      <c r="AS308" s="19"/>
      <c r="AT308" s="18"/>
      <c r="AU308" s="17"/>
      <c r="AV308" s="17"/>
      <c r="AW308" s="17"/>
      <c r="AX308" s="17"/>
      <c r="AY308" s="17"/>
      <c r="AZ308" s="17"/>
      <c r="BA308" s="17"/>
      <c r="BB308" s="17"/>
      <c r="BC308" s="17"/>
      <c r="BD308" s="17"/>
      <c r="BE308" s="17"/>
      <c r="BF308" s="17"/>
      <c r="BG308" s="16"/>
    </row>
    <row r="309" spans="1:59">
      <c r="A309" s="21"/>
      <c r="B309" s="21"/>
      <c r="C309" s="32"/>
      <c r="D309" s="21"/>
      <c r="E309" s="31"/>
      <c r="F309" s="30"/>
      <c r="G309" s="30"/>
      <c r="H309" s="29"/>
      <c r="I309" s="29"/>
      <c r="J309" s="29"/>
      <c r="K309" s="28"/>
      <c r="L309" s="27"/>
      <c r="M309" s="26"/>
      <c r="N309" s="25"/>
      <c r="O309" s="23"/>
      <c r="P309" s="23"/>
      <c r="Q309" s="23"/>
      <c r="R309" s="23"/>
      <c r="S309" s="23"/>
      <c r="T309" s="23"/>
      <c r="U309" s="23"/>
      <c r="V309" s="23"/>
      <c r="W309" s="23"/>
      <c r="X309" s="24"/>
      <c r="Y309" s="21"/>
      <c r="Z309" s="23"/>
      <c r="AA309" s="22"/>
      <c r="AB309" s="22"/>
      <c r="AC309" s="22"/>
      <c r="AD309" s="22"/>
      <c r="AE309" s="22"/>
      <c r="AF309" s="22"/>
      <c r="AG309" s="22"/>
      <c r="AH309" s="22"/>
      <c r="AI309" s="22"/>
      <c r="AJ309" s="22"/>
      <c r="AK309" s="22"/>
      <c r="AL309" s="22"/>
      <c r="AM309" s="22"/>
      <c r="AN309" s="22"/>
      <c r="AO309" s="22"/>
      <c r="AP309" s="21"/>
      <c r="AR309" s="20"/>
      <c r="AS309" s="19"/>
      <c r="AT309" s="18"/>
      <c r="AU309" s="17"/>
      <c r="AV309" s="17"/>
      <c r="AW309" s="17"/>
      <c r="AX309" s="17"/>
      <c r="AY309" s="17"/>
      <c r="AZ309" s="17"/>
      <c r="BA309" s="17"/>
      <c r="BB309" s="17"/>
      <c r="BC309" s="17"/>
      <c r="BD309" s="17"/>
      <c r="BE309" s="17"/>
      <c r="BF309" s="17"/>
      <c r="BG309" s="16"/>
    </row>
    <row r="310" spans="1:59">
      <c r="A310" s="21"/>
      <c r="B310" s="21"/>
      <c r="C310" s="32"/>
      <c r="D310" s="21"/>
      <c r="E310" s="31"/>
      <c r="F310" s="30"/>
      <c r="G310" s="30"/>
      <c r="H310" s="29"/>
      <c r="I310" s="29"/>
      <c r="J310" s="29"/>
      <c r="K310" s="28"/>
      <c r="L310" s="27"/>
      <c r="M310" s="26"/>
      <c r="N310" s="25"/>
      <c r="O310" s="23"/>
      <c r="P310" s="23"/>
      <c r="Q310" s="23"/>
      <c r="R310" s="23"/>
      <c r="S310" s="23"/>
      <c r="T310" s="23"/>
      <c r="U310" s="23"/>
      <c r="V310" s="23"/>
      <c r="W310" s="23"/>
      <c r="X310" s="24"/>
      <c r="Y310" s="21"/>
      <c r="Z310" s="23"/>
      <c r="AA310" s="22"/>
      <c r="AB310" s="22"/>
      <c r="AC310" s="22"/>
      <c r="AD310" s="22"/>
      <c r="AE310" s="22"/>
      <c r="AF310" s="22"/>
      <c r="AG310" s="22"/>
      <c r="AH310" s="22"/>
      <c r="AI310" s="22"/>
      <c r="AJ310" s="22"/>
      <c r="AK310" s="22"/>
      <c r="AL310" s="22"/>
      <c r="AM310" s="22"/>
      <c r="AN310" s="22"/>
      <c r="AO310" s="22"/>
      <c r="AP310" s="21"/>
      <c r="AR310" s="20"/>
      <c r="AS310" s="19"/>
      <c r="AT310" s="18"/>
      <c r="AU310" s="17"/>
      <c r="AV310" s="17"/>
      <c r="AW310" s="17"/>
      <c r="AX310" s="17"/>
      <c r="AY310" s="17"/>
      <c r="AZ310" s="17"/>
      <c r="BA310" s="17"/>
      <c r="BB310" s="17"/>
      <c r="BC310" s="17"/>
      <c r="BD310" s="17"/>
      <c r="BE310" s="17"/>
      <c r="BF310" s="17"/>
      <c r="BG310" s="16"/>
    </row>
    <row r="311" spans="1:59">
      <c r="A311" s="21"/>
      <c r="B311" s="21"/>
      <c r="C311" s="32"/>
      <c r="D311" s="21"/>
      <c r="E311" s="31"/>
      <c r="F311" s="30"/>
      <c r="G311" s="30"/>
      <c r="H311" s="29"/>
      <c r="I311" s="29"/>
      <c r="J311" s="29"/>
      <c r="K311" s="28"/>
      <c r="L311" s="27"/>
      <c r="M311" s="26"/>
      <c r="N311" s="25"/>
      <c r="O311" s="23"/>
      <c r="P311" s="23"/>
      <c r="Q311" s="23"/>
      <c r="R311" s="23"/>
      <c r="S311" s="23"/>
      <c r="T311" s="23"/>
      <c r="U311" s="23"/>
      <c r="V311" s="23"/>
      <c r="W311" s="23"/>
      <c r="X311" s="24"/>
      <c r="Y311" s="21"/>
      <c r="Z311" s="23"/>
      <c r="AA311" s="22"/>
      <c r="AB311" s="22"/>
      <c r="AC311" s="22"/>
      <c r="AD311" s="22"/>
      <c r="AE311" s="22"/>
      <c r="AF311" s="22"/>
      <c r="AG311" s="22"/>
      <c r="AH311" s="22"/>
      <c r="AI311" s="22"/>
      <c r="AJ311" s="22"/>
      <c r="AK311" s="22"/>
      <c r="AL311" s="22"/>
      <c r="AM311" s="22"/>
      <c r="AN311" s="22"/>
      <c r="AO311" s="22"/>
      <c r="AP311" s="21"/>
      <c r="AR311" s="20"/>
      <c r="AS311" s="19"/>
      <c r="AT311" s="18"/>
      <c r="AU311" s="17"/>
      <c r="AV311" s="17"/>
      <c r="AW311" s="17"/>
      <c r="AX311" s="17"/>
      <c r="AY311" s="17"/>
      <c r="AZ311" s="17"/>
      <c r="BA311" s="17"/>
      <c r="BB311" s="17"/>
      <c r="BC311" s="17"/>
      <c r="BD311" s="17"/>
      <c r="BE311" s="17"/>
      <c r="BF311" s="17"/>
      <c r="BG311" s="16"/>
    </row>
    <row r="312" spans="1:59">
      <c r="A312" s="21"/>
      <c r="B312" s="21"/>
      <c r="C312" s="32"/>
      <c r="D312" s="21"/>
      <c r="E312" s="31"/>
      <c r="F312" s="30"/>
      <c r="G312" s="30"/>
      <c r="H312" s="29"/>
      <c r="I312" s="29"/>
      <c r="J312" s="29"/>
      <c r="K312" s="28"/>
      <c r="L312" s="27"/>
      <c r="M312" s="26"/>
      <c r="N312" s="25"/>
      <c r="O312" s="23"/>
      <c r="P312" s="23"/>
      <c r="Q312" s="23"/>
      <c r="R312" s="23"/>
      <c r="S312" s="23"/>
      <c r="T312" s="23"/>
      <c r="U312" s="23"/>
      <c r="V312" s="23"/>
      <c r="W312" s="23"/>
      <c r="X312" s="24"/>
      <c r="Y312" s="21"/>
      <c r="Z312" s="23"/>
      <c r="AA312" s="22"/>
      <c r="AB312" s="22"/>
      <c r="AC312" s="22"/>
      <c r="AD312" s="22"/>
      <c r="AE312" s="22"/>
      <c r="AF312" s="22"/>
      <c r="AG312" s="22"/>
      <c r="AH312" s="22"/>
      <c r="AI312" s="22"/>
      <c r="AJ312" s="22"/>
      <c r="AK312" s="22"/>
      <c r="AL312" s="22"/>
      <c r="AM312" s="22"/>
      <c r="AN312" s="22"/>
      <c r="AO312" s="22"/>
      <c r="AP312" s="21"/>
      <c r="AR312" s="20"/>
      <c r="AS312" s="19"/>
      <c r="AT312" s="18"/>
      <c r="AU312" s="17"/>
      <c r="AV312" s="17"/>
      <c r="AW312" s="17"/>
      <c r="AX312" s="17"/>
      <c r="AY312" s="17"/>
      <c r="AZ312" s="17"/>
      <c r="BA312" s="17"/>
      <c r="BB312" s="17"/>
      <c r="BC312" s="17"/>
      <c r="BD312" s="17"/>
      <c r="BE312" s="17"/>
      <c r="BF312" s="17"/>
      <c r="BG312" s="16"/>
    </row>
    <row r="313" spans="1:59">
      <c r="A313" s="21"/>
      <c r="B313" s="21"/>
      <c r="C313" s="32"/>
      <c r="D313" s="21"/>
      <c r="E313" s="31"/>
      <c r="F313" s="30"/>
      <c r="G313" s="30"/>
      <c r="H313" s="29"/>
      <c r="I313" s="29"/>
      <c r="J313" s="29"/>
      <c r="K313" s="28"/>
      <c r="L313" s="27"/>
      <c r="M313" s="26"/>
      <c r="N313" s="25"/>
      <c r="O313" s="23"/>
      <c r="P313" s="23"/>
      <c r="Q313" s="23"/>
      <c r="R313" s="23"/>
      <c r="S313" s="23"/>
      <c r="T313" s="23"/>
      <c r="U313" s="23"/>
      <c r="V313" s="23"/>
      <c r="W313" s="23"/>
      <c r="X313" s="24"/>
      <c r="Y313" s="21"/>
      <c r="Z313" s="23"/>
      <c r="AA313" s="22"/>
      <c r="AB313" s="22"/>
      <c r="AC313" s="22"/>
      <c r="AD313" s="22"/>
      <c r="AE313" s="22"/>
      <c r="AF313" s="22"/>
      <c r="AG313" s="22"/>
      <c r="AH313" s="22"/>
      <c r="AI313" s="22"/>
      <c r="AJ313" s="22"/>
      <c r="AK313" s="22"/>
      <c r="AL313" s="22"/>
      <c r="AM313" s="22"/>
      <c r="AN313" s="22"/>
      <c r="AO313" s="22"/>
      <c r="AP313" s="21"/>
      <c r="AR313" s="20"/>
      <c r="AS313" s="19"/>
      <c r="AT313" s="18"/>
      <c r="AU313" s="17"/>
      <c r="AV313" s="17"/>
      <c r="AW313" s="17"/>
      <c r="AX313" s="17"/>
      <c r="AY313" s="17"/>
      <c r="AZ313" s="17"/>
      <c r="BA313" s="17"/>
      <c r="BB313" s="17"/>
      <c r="BC313" s="17"/>
      <c r="BD313" s="17"/>
      <c r="BE313" s="17"/>
      <c r="BF313" s="17"/>
      <c r="BG313" s="16"/>
    </row>
    <row r="314" spans="1:59">
      <c r="A314" s="21"/>
      <c r="B314" s="21"/>
      <c r="C314" s="32"/>
      <c r="D314" s="21"/>
      <c r="E314" s="31"/>
      <c r="F314" s="30"/>
      <c r="G314" s="30"/>
      <c r="H314" s="29"/>
      <c r="I314" s="29"/>
      <c r="J314" s="29"/>
      <c r="K314" s="28"/>
      <c r="L314" s="27"/>
      <c r="M314" s="26"/>
      <c r="N314" s="25"/>
      <c r="O314" s="23"/>
      <c r="P314" s="23"/>
      <c r="Q314" s="23"/>
      <c r="R314" s="23"/>
      <c r="S314" s="23"/>
      <c r="T314" s="23"/>
      <c r="U314" s="23"/>
      <c r="V314" s="23"/>
      <c r="W314" s="23"/>
      <c r="X314" s="24"/>
      <c r="Y314" s="21"/>
      <c r="Z314" s="23"/>
      <c r="AA314" s="22"/>
      <c r="AB314" s="22"/>
      <c r="AC314" s="22"/>
      <c r="AD314" s="22"/>
      <c r="AE314" s="22"/>
      <c r="AF314" s="22"/>
      <c r="AG314" s="22"/>
      <c r="AH314" s="22"/>
      <c r="AI314" s="22"/>
      <c r="AJ314" s="22"/>
      <c r="AK314" s="22"/>
      <c r="AL314" s="22"/>
      <c r="AM314" s="22"/>
      <c r="AN314" s="22"/>
      <c r="AO314" s="22"/>
      <c r="AP314" s="21"/>
      <c r="AR314" s="20"/>
      <c r="AS314" s="19"/>
      <c r="AT314" s="18"/>
      <c r="AU314" s="17"/>
      <c r="AV314" s="17"/>
      <c r="AW314" s="17"/>
      <c r="AX314" s="17"/>
      <c r="AY314" s="17"/>
      <c r="AZ314" s="17"/>
      <c r="BA314" s="17"/>
      <c r="BB314" s="17"/>
      <c r="BC314" s="17"/>
      <c r="BD314" s="17"/>
      <c r="BE314" s="17"/>
      <c r="BF314" s="17"/>
      <c r="BG314" s="16"/>
    </row>
    <row r="315" spans="1:59">
      <c r="A315" s="21"/>
      <c r="B315" s="21"/>
      <c r="C315" s="32"/>
      <c r="D315" s="21"/>
      <c r="E315" s="31"/>
      <c r="F315" s="30"/>
      <c r="G315" s="30"/>
      <c r="H315" s="29"/>
      <c r="I315" s="29"/>
      <c r="J315" s="29"/>
      <c r="K315" s="28"/>
      <c r="L315" s="27"/>
      <c r="M315" s="26"/>
      <c r="N315" s="25"/>
      <c r="O315" s="23"/>
      <c r="P315" s="23"/>
      <c r="Q315" s="23"/>
      <c r="R315" s="23"/>
      <c r="S315" s="23"/>
      <c r="T315" s="23"/>
      <c r="U315" s="23"/>
      <c r="V315" s="23"/>
      <c r="W315" s="23"/>
      <c r="X315" s="24"/>
      <c r="Y315" s="21"/>
      <c r="Z315" s="23"/>
      <c r="AA315" s="22"/>
      <c r="AB315" s="22"/>
      <c r="AC315" s="22"/>
      <c r="AD315" s="22"/>
      <c r="AE315" s="22"/>
      <c r="AF315" s="22"/>
      <c r="AG315" s="22"/>
      <c r="AH315" s="22"/>
      <c r="AI315" s="22"/>
      <c r="AJ315" s="22"/>
      <c r="AK315" s="22"/>
      <c r="AL315" s="22"/>
      <c r="AM315" s="22"/>
      <c r="AN315" s="22"/>
      <c r="AO315" s="22"/>
      <c r="AP315" s="21"/>
      <c r="AR315" s="20"/>
      <c r="AS315" s="19"/>
      <c r="AT315" s="18"/>
      <c r="AU315" s="17"/>
      <c r="AV315" s="17"/>
      <c r="AW315" s="17"/>
      <c r="AX315" s="17"/>
      <c r="AY315" s="17"/>
      <c r="AZ315" s="17"/>
      <c r="BA315" s="17"/>
      <c r="BB315" s="17"/>
      <c r="BC315" s="17"/>
      <c r="BD315" s="17"/>
      <c r="BE315" s="17"/>
      <c r="BF315" s="17"/>
      <c r="BG315" s="16"/>
    </row>
    <row r="316" spans="1:59">
      <c r="A316" s="21"/>
      <c r="B316" s="21"/>
      <c r="C316" s="32"/>
      <c r="D316" s="21"/>
      <c r="E316" s="31"/>
      <c r="F316" s="30"/>
      <c r="G316" s="30"/>
      <c r="H316" s="29"/>
      <c r="I316" s="29"/>
      <c r="J316" s="29"/>
      <c r="K316" s="28"/>
      <c r="L316" s="27"/>
      <c r="M316" s="26"/>
      <c r="N316" s="25"/>
      <c r="O316" s="23"/>
      <c r="P316" s="23"/>
      <c r="Q316" s="23"/>
      <c r="R316" s="23"/>
      <c r="S316" s="23"/>
      <c r="T316" s="23"/>
      <c r="U316" s="23"/>
      <c r="V316" s="23"/>
      <c r="W316" s="23"/>
      <c r="X316" s="24"/>
      <c r="Y316" s="21"/>
      <c r="Z316" s="23"/>
      <c r="AA316" s="22"/>
      <c r="AB316" s="22"/>
      <c r="AC316" s="22"/>
      <c r="AD316" s="22"/>
      <c r="AE316" s="22"/>
      <c r="AF316" s="22"/>
      <c r="AG316" s="22"/>
      <c r="AH316" s="22"/>
      <c r="AI316" s="22"/>
      <c r="AJ316" s="22"/>
      <c r="AK316" s="22"/>
      <c r="AL316" s="22"/>
      <c r="AM316" s="22"/>
      <c r="AN316" s="22"/>
      <c r="AO316" s="22"/>
      <c r="AP316" s="21"/>
      <c r="AR316" s="20"/>
      <c r="AS316" s="19"/>
      <c r="AT316" s="18"/>
      <c r="AU316" s="17"/>
      <c r="AV316" s="17"/>
      <c r="AW316" s="17"/>
      <c r="AX316" s="17"/>
      <c r="AY316" s="17"/>
      <c r="AZ316" s="17"/>
      <c r="BA316" s="17"/>
      <c r="BB316" s="17"/>
      <c r="BC316" s="17"/>
      <c r="BD316" s="17"/>
      <c r="BE316" s="17"/>
      <c r="BF316" s="17"/>
      <c r="BG316" s="16"/>
    </row>
    <row r="317" spans="1:59">
      <c r="A317" s="21"/>
      <c r="B317" s="21"/>
      <c r="C317" s="32"/>
      <c r="D317" s="21"/>
      <c r="E317" s="31"/>
      <c r="F317" s="30"/>
      <c r="G317" s="30"/>
      <c r="H317" s="29"/>
      <c r="I317" s="29"/>
      <c r="J317" s="29"/>
      <c r="K317" s="28"/>
      <c r="L317" s="27"/>
      <c r="M317" s="26"/>
      <c r="N317" s="25"/>
      <c r="O317" s="23"/>
      <c r="P317" s="23"/>
      <c r="Q317" s="23"/>
      <c r="R317" s="23"/>
      <c r="S317" s="23"/>
      <c r="T317" s="23"/>
      <c r="U317" s="23"/>
      <c r="V317" s="23"/>
      <c r="W317" s="23"/>
      <c r="X317" s="24"/>
      <c r="Y317" s="21"/>
      <c r="Z317" s="23"/>
      <c r="AA317" s="22"/>
      <c r="AB317" s="22"/>
      <c r="AC317" s="22"/>
      <c r="AD317" s="22"/>
      <c r="AE317" s="22"/>
      <c r="AF317" s="22"/>
      <c r="AG317" s="22"/>
      <c r="AH317" s="22"/>
      <c r="AI317" s="22"/>
      <c r="AJ317" s="22"/>
      <c r="AK317" s="22"/>
      <c r="AL317" s="22"/>
      <c r="AM317" s="22"/>
      <c r="AN317" s="22"/>
      <c r="AO317" s="22"/>
      <c r="AP317" s="21"/>
      <c r="AR317" s="20"/>
      <c r="AS317" s="19"/>
      <c r="AT317" s="18"/>
      <c r="AU317" s="17"/>
      <c r="AV317" s="17"/>
      <c r="AW317" s="17"/>
      <c r="AX317" s="17"/>
      <c r="AY317" s="17"/>
      <c r="AZ317" s="17"/>
      <c r="BA317" s="17"/>
      <c r="BB317" s="17"/>
      <c r="BC317" s="17"/>
      <c r="BD317" s="17"/>
      <c r="BE317" s="17"/>
      <c r="BF317" s="17"/>
      <c r="BG317" s="16"/>
    </row>
    <row r="318" spans="1:59">
      <c r="A318" s="21"/>
      <c r="B318" s="21"/>
      <c r="C318" s="32"/>
      <c r="D318" s="21"/>
      <c r="E318" s="31"/>
      <c r="F318" s="30"/>
      <c r="G318" s="30"/>
      <c r="H318" s="29"/>
      <c r="I318" s="29"/>
      <c r="J318" s="29"/>
      <c r="K318" s="28"/>
      <c r="L318" s="27"/>
      <c r="M318" s="26"/>
      <c r="N318" s="25"/>
      <c r="O318" s="23"/>
      <c r="P318" s="23"/>
      <c r="Q318" s="23"/>
      <c r="R318" s="23"/>
      <c r="S318" s="23"/>
      <c r="T318" s="23"/>
      <c r="U318" s="23"/>
      <c r="V318" s="23"/>
      <c r="W318" s="23"/>
      <c r="X318" s="24"/>
      <c r="Y318" s="21"/>
      <c r="Z318" s="23"/>
      <c r="AA318" s="22"/>
      <c r="AB318" s="22"/>
      <c r="AC318" s="22"/>
      <c r="AD318" s="22"/>
      <c r="AE318" s="22"/>
      <c r="AF318" s="22"/>
      <c r="AG318" s="22"/>
      <c r="AH318" s="22"/>
      <c r="AI318" s="22"/>
      <c r="AJ318" s="22"/>
      <c r="AK318" s="22"/>
      <c r="AL318" s="22"/>
      <c r="AM318" s="22"/>
      <c r="AN318" s="22"/>
      <c r="AO318" s="22"/>
      <c r="AP318" s="21"/>
      <c r="AR318" s="20"/>
      <c r="AS318" s="19"/>
      <c r="AT318" s="18"/>
      <c r="AU318" s="17"/>
      <c r="AV318" s="17"/>
      <c r="AW318" s="17"/>
      <c r="AX318" s="17"/>
      <c r="AY318" s="17"/>
      <c r="AZ318" s="17"/>
      <c r="BA318" s="17"/>
      <c r="BB318" s="17"/>
      <c r="BC318" s="17"/>
      <c r="BD318" s="17"/>
      <c r="BE318" s="17"/>
      <c r="BF318" s="17"/>
      <c r="BG318" s="16"/>
    </row>
    <row r="319" spans="1:59">
      <c r="A319" s="21"/>
      <c r="B319" s="21"/>
      <c r="C319" s="32"/>
      <c r="D319" s="21"/>
      <c r="E319" s="31"/>
      <c r="F319" s="30"/>
      <c r="G319" s="30"/>
      <c r="H319" s="29"/>
      <c r="I319" s="29"/>
      <c r="J319" s="29"/>
      <c r="K319" s="28"/>
      <c r="L319" s="27"/>
      <c r="M319" s="26"/>
      <c r="N319" s="25"/>
      <c r="O319" s="23"/>
      <c r="P319" s="23"/>
      <c r="Q319" s="23"/>
      <c r="R319" s="23"/>
      <c r="S319" s="23"/>
      <c r="T319" s="23"/>
      <c r="U319" s="23"/>
      <c r="V319" s="23"/>
      <c r="W319" s="23"/>
      <c r="X319" s="24"/>
      <c r="Y319" s="21"/>
      <c r="Z319" s="23"/>
      <c r="AA319" s="22"/>
      <c r="AB319" s="22"/>
      <c r="AC319" s="22"/>
      <c r="AD319" s="22"/>
      <c r="AE319" s="22"/>
      <c r="AF319" s="22"/>
      <c r="AG319" s="22"/>
      <c r="AH319" s="22"/>
      <c r="AI319" s="22"/>
      <c r="AJ319" s="22"/>
      <c r="AK319" s="22"/>
      <c r="AL319" s="22"/>
      <c r="AM319" s="22"/>
      <c r="AN319" s="22"/>
      <c r="AO319" s="22"/>
      <c r="AP319" s="21"/>
      <c r="AR319" s="20"/>
      <c r="AS319" s="19"/>
      <c r="AT319" s="18"/>
      <c r="AU319" s="17"/>
      <c r="AV319" s="17"/>
      <c r="AW319" s="17"/>
      <c r="AX319" s="17"/>
      <c r="AY319" s="17"/>
      <c r="AZ319" s="17"/>
      <c r="BA319" s="17"/>
      <c r="BB319" s="17"/>
      <c r="BC319" s="17"/>
      <c r="BD319" s="17"/>
      <c r="BE319" s="17"/>
      <c r="BF319" s="17"/>
      <c r="BG319" s="16"/>
    </row>
    <row r="320" spans="1:59">
      <c r="A320" s="21"/>
      <c r="B320" s="21"/>
      <c r="C320" s="32"/>
      <c r="D320" s="21"/>
      <c r="E320" s="31"/>
      <c r="F320" s="30"/>
      <c r="G320" s="30"/>
      <c r="H320" s="29"/>
      <c r="I320" s="29"/>
      <c r="J320" s="29"/>
      <c r="K320" s="28"/>
      <c r="L320" s="27"/>
      <c r="M320" s="26"/>
      <c r="N320" s="25"/>
      <c r="O320" s="23"/>
      <c r="P320" s="23"/>
      <c r="Q320" s="23"/>
      <c r="R320" s="23"/>
      <c r="S320" s="23"/>
      <c r="T320" s="23"/>
      <c r="U320" s="23"/>
      <c r="V320" s="23"/>
      <c r="W320" s="23"/>
      <c r="X320" s="24"/>
      <c r="Y320" s="21"/>
      <c r="Z320" s="23"/>
      <c r="AA320" s="22"/>
      <c r="AB320" s="22"/>
      <c r="AC320" s="22"/>
      <c r="AD320" s="22"/>
      <c r="AE320" s="22"/>
      <c r="AF320" s="22"/>
      <c r="AG320" s="22"/>
      <c r="AH320" s="22"/>
      <c r="AI320" s="22"/>
      <c r="AJ320" s="22"/>
      <c r="AK320" s="22"/>
      <c r="AL320" s="22"/>
      <c r="AM320" s="22"/>
      <c r="AN320" s="22"/>
      <c r="AO320" s="22"/>
      <c r="AP320" s="21"/>
      <c r="AR320" s="20"/>
      <c r="AS320" s="19"/>
      <c r="AT320" s="18"/>
      <c r="AU320" s="17"/>
      <c r="AV320" s="17"/>
      <c r="AW320" s="17"/>
      <c r="AX320" s="17"/>
      <c r="AY320" s="17"/>
      <c r="AZ320" s="17"/>
      <c r="BA320" s="17"/>
      <c r="BB320" s="17"/>
      <c r="BC320" s="17"/>
      <c r="BD320" s="17"/>
      <c r="BE320" s="17"/>
      <c r="BF320" s="17"/>
      <c r="BG320" s="16"/>
    </row>
    <row r="321" spans="1:59">
      <c r="A321" s="21"/>
      <c r="B321" s="21"/>
      <c r="C321" s="32"/>
      <c r="D321" s="21"/>
      <c r="E321" s="31"/>
      <c r="F321" s="30"/>
      <c r="G321" s="30"/>
      <c r="H321" s="29"/>
      <c r="I321" s="29"/>
      <c r="J321" s="29"/>
      <c r="K321" s="28"/>
      <c r="L321" s="27"/>
      <c r="M321" s="26"/>
      <c r="N321" s="25"/>
      <c r="O321" s="23"/>
      <c r="P321" s="23"/>
      <c r="Q321" s="23"/>
      <c r="R321" s="23"/>
      <c r="S321" s="23"/>
      <c r="T321" s="23"/>
      <c r="U321" s="23"/>
      <c r="V321" s="23"/>
      <c r="W321" s="23"/>
      <c r="X321" s="24"/>
      <c r="Y321" s="21"/>
      <c r="Z321" s="23"/>
      <c r="AA321" s="22"/>
      <c r="AB321" s="22"/>
      <c r="AC321" s="22"/>
      <c r="AD321" s="22"/>
      <c r="AE321" s="22"/>
      <c r="AF321" s="22"/>
      <c r="AG321" s="22"/>
      <c r="AH321" s="22"/>
      <c r="AI321" s="22"/>
      <c r="AJ321" s="22"/>
      <c r="AK321" s="22"/>
      <c r="AL321" s="22"/>
      <c r="AM321" s="22"/>
      <c r="AN321" s="22"/>
      <c r="AO321" s="22"/>
      <c r="AP321" s="21"/>
      <c r="AR321" s="20"/>
      <c r="AS321" s="19"/>
      <c r="AT321" s="18"/>
      <c r="AU321" s="17"/>
      <c r="AV321" s="17"/>
      <c r="AW321" s="17"/>
      <c r="AX321" s="17"/>
      <c r="AY321" s="17"/>
      <c r="AZ321" s="17"/>
      <c r="BA321" s="17"/>
      <c r="BB321" s="17"/>
      <c r="BC321" s="17"/>
      <c r="BD321" s="17"/>
      <c r="BE321" s="17"/>
      <c r="BF321" s="17"/>
      <c r="BG321" s="16"/>
    </row>
    <row r="322" spans="1:59">
      <c r="A322" s="21"/>
      <c r="B322" s="21"/>
      <c r="C322" s="32"/>
      <c r="D322" s="21"/>
      <c r="E322" s="31"/>
      <c r="F322" s="30"/>
      <c r="G322" s="30"/>
      <c r="H322" s="29"/>
      <c r="I322" s="29"/>
      <c r="J322" s="29"/>
      <c r="K322" s="28"/>
      <c r="L322" s="27"/>
      <c r="M322" s="26"/>
      <c r="N322" s="25"/>
      <c r="O322" s="23"/>
      <c r="P322" s="23"/>
      <c r="Q322" s="23"/>
      <c r="R322" s="23"/>
      <c r="S322" s="23"/>
      <c r="T322" s="23"/>
      <c r="U322" s="23"/>
      <c r="V322" s="23"/>
      <c r="W322" s="23"/>
      <c r="X322" s="24"/>
      <c r="Y322" s="21"/>
      <c r="Z322" s="23"/>
      <c r="AA322" s="22"/>
      <c r="AB322" s="22"/>
      <c r="AC322" s="22"/>
      <c r="AD322" s="22"/>
      <c r="AE322" s="22"/>
      <c r="AF322" s="22"/>
      <c r="AG322" s="22"/>
      <c r="AH322" s="22"/>
      <c r="AI322" s="22"/>
      <c r="AJ322" s="22"/>
      <c r="AK322" s="22"/>
      <c r="AL322" s="22"/>
      <c r="AM322" s="22"/>
      <c r="AN322" s="22"/>
      <c r="AO322" s="22"/>
      <c r="AP322" s="21"/>
      <c r="AR322" s="20"/>
      <c r="AS322" s="19"/>
      <c r="AT322" s="18"/>
      <c r="AU322" s="17"/>
      <c r="AV322" s="17"/>
      <c r="AW322" s="17"/>
      <c r="AX322" s="17"/>
      <c r="AY322" s="17"/>
      <c r="AZ322" s="17"/>
      <c r="BA322" s="17"/>
      <c r="BB322" s="17"/>
      <c r="BC322" s="17"/>
      <c r="BD322" s="17"/>
      <c r="BE322" s="17"/>
      <c r="BF322" s="17"/>
      <c r="BG322" s="16"/>
    </row>
    <row r="323" spans="1:59">
      <c r="A323" s="21"/>
      <c r="B323" s="21"/>
      <c r="C323" s="32"/>
      <c r="D323" s="21"/>
      <c r="E323" s="31"/>
      <c r="F323" s="30"/>
      <c r="G323" s="30"/>
      <c r="H323" s="29"/>
      <c r="I323" s="29"/>
      <c r="J323" s="29"/>
      <c r="K323" s="28"/>
      <c r="L323" s="27"/>
      <c r="M323" s="26"/>
      <c r="N323" s="25"/>
      <c r="O323" s="23"/>
      <c r="P323" s="23"/>
      <c r="Q323" s="23"/>
      <c r="R323" s="23"/>
      <c r="S323" s="23"/>
      <c r="T323" s="23"/>
      <c r="U323" s="23"/>
      <c r="V323" s="23"/>
      <c r="W323" s="23"/>
      <c r="X323" s="24"/>
      <c r="Y323" s="21"/>
      <c r="Z323" s="23"/>
      <c r="AA323" s="22"/>
      <c r="AB323" s="22"/>
      <c r="AC323" s="22"/>
      <c r="AD323" s="22"/>
      <c r="AE323" s="22"/>
      <c r="AF323" s="22"/>
      <c r="AG323" s="22"/>
      <c r="AH323" s="22"/>
      <c r="AI323" s="22"/>
      <c r="AJ323" s="22"/>
      <c r="AK323" s="22"/>
      <c r="AL323" s="22"/>
      <c r="AM323" s="22"/>
      <c r="AN323" s="22"/>
      <c r="AO323" s="22"/>
      <c r="AP323" s="21"/>
      <c r="AR323" s="20"/>
      <c r="AS323" s="19"/>
      <c r="AT323" s="18"/>
      <c r="AU323" s="17"/>
      <c r="AV323" s="17"/>
      <c r="AW323" s="17"/>
      <c r="AX323" s="17"/>
      <c r="AY323" s="17"/>
      <c r="AZ323" s="17"/>
      <c r="BA323" s="17"/>
      <c r="BB323" s="17"/>
      <c r="BC323" s="17"/>
      <c r="BD323" s="17"/>
      <c r="BE323" s="17"/>
      <c r="BF323" s="17"/>
      <c r="BG323" s="16"/>
    </row>
    <row r="324" spans="1:59">
      <c r="A324" s="21"/>
      <c r="B324" s="21"/>
      <c r="C324" s="32"/>
      <c r="D324" s="21"/>
      <c r="E324" s="31"/>
      <c r="F324" s="30"/>
      <c r="G324" s="30"/>
      <c r="H324" s="29"/>
      <c r="I324" s="29"/>
      <c r="J324" s="29"/>
      <c r="K324" s="28"/>
      <c r="L324" s="27"/>
      <c r="M324" s="26"/>
      <c r="N324" s="25"/>
      <c r="O324" s="23"/>
      <c r="P324" s="23"/>
      <c r="Q324" s="23"/>
      <c r="R324" s="23"/>
      <c r="S324" s="23"/>
      <c r="T324" s="23"/>
      <c r="U324" s="23"/>
      <c r="V324" s="23"/>
      <c r="W324" s="23"/>
      <c r="X324" s="24"/>
      <c r="Y324" s="21"/>
      <c r="Z324" s="23"/>
      <c r="AA324" s="22"/>
      <c r="AB324" s="22"/>
      <c r="AC324" s="22"/>
      <c r="AD324" s="22"/>
      <c r="AE324" s="22"/>
      <c r="AF324" s="22"/>
      <c r="AG324" s="22"/>
      <c r="AH324" s="22"/>
      <c r="AI324" s="22"/>
      <c r="AJ324" s="22"/>
      <c r="AK324" s="22"/>
      <c r="AL324" s="22"/>
      <c r="AM324" s="22"/>
      <c r="AN324" s="22"/>
      <c r="AO324" s="22"/>
      <c r="AP324" s="21"/>
      <c r="AR324" s="20"/>
      <c r="AS324" s="19"/>
      <c r="AT324" s="18"/>
      <c r="AU324" s="17"/>
      <c r="AV324" s="17"/>
      <c r="AW324" s="17"/>
      <c r="AX324" s="17"/>
      <c r="AY324" s="17"/>
      <c r="AZ324" s="17"/>
      <c r="BA324" s="17"/>
      <c r="BB324" s="17"/>
      <c r="BC324" s="17"/>
      <c r="BD324" s="17"/>
      <c r="BE324" s="17"/>
      <c r="BF324" s="17"/>
      <c r="BG324" s="16"/>
    </row>
    <row r="1048571" spans="59:59">
      <c r="BG1048571" s="16"/>
    </row>
  </sheetData>
  <autoFilter ref="A4:FQ202" xr:uid="{EEF1E12B-4BB2-427E-8B8E-2868DA064E0B}"/>
  <dataConsolidate/>
  <mergeCells count="1">
    <mergeCell ref="AT3:AV3"/>
  </mergeCells>
  <conditionalFormatting sqref="L5:L324">
    <cfRule type="cellIs" dxfId="4" priority="1" operator="equal">
      <formula>"Stand By"</formula>
    </cfRule>
    <cfRule type="cellIs" dxfId="3" priority="2" operator="equal">
      <formula>"Cancelado"</formula>
    </cfRule>
    <cfRule type="cellIs" dxfId="2" priority="3" operator="equal">
      <formula>"En riesgo o vencido &gt; 2 meses"</formula>
    </cfRule>
    <cfRule type="cellIs" dxfId="1" priority="4" operator="equal">
      <formula>"En riesgo ente &gt;1&lt;2 meses"</formula>
    </cfRule>
    <cfRule type="cellIs" dxfId="0" priority="5" operator="equal">
      <formula>"On time"</formula>
    </cfRule>
  </conditionalFormatting>
  <dataValidations count="1">
    <dataValidation type="list" allowBlank="1" showInputMessage="1" showErrorMessage="1" sqref="L138:L142 L147 L128:L134 L149:L166 L168:L195 L5:L126 L197:L200 L202" xr:uid="{8886ADD8-0487-4600-AA8C-9B89E3077DA5}">
      <formula1>"On time, En riesgo ente &gt;1&lt;2 meses, En riesgo o vencido &gt; 2 meses, No iniciado, Stand by, Cancelado"</formula1>
    </dataValidation>
  </dataValidations>
  <pageMargins left="0.70866141732283472" right="0.70866141732283472" top="0.74803149606299213" bottom="0.74803149606299213" header="0.31496062992125984" footer="0.31496062992125984"/>
  <pageSetup scale="14"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Proyectos PGP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Alvarez</dc:creator>
  <cp:lastModifiedBy>Santiago Alvarez</cp:lastModifiedBy>
  <dcterms:created xsi:type="dcterms:W3CDTF">2025-12-15T19:04:16Z</dcterms:created>
  <dcterms:modified xsi:type="dcterms:W3CDTF">2025-12-15T19:40:15Z</dcterms:modified>
</cp:coreProperties>
</file>